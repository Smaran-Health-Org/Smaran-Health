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2070844ca140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ruitment Dashboard" sheetId="1" r:id="Rbca46986c30e47da"/>
    <x:sheet xmlns:r="http://schemas.openxmlformats.org/officeDocument/2006/relationships" name="Prospect Pipeline" sheetId="2" r:id="R1fe5e958cdb74b86"/>
    <x:sheet xmlns:r="http://schemas.openxmlformats.org/officeDocument/2006/relationships" name="Outreach Log" sheetId="3" r:id="Rd77f4438acb1422d"/>
    <x:sheet xmlns:r="http://schemas.openxmlformats.org/officeDocument/2006/relationships" name="Objection Codes" sheetId="4" r:id="Rce63db986af9447b"/>
    <x:sheet xmlns:r="http://schemas.openxmlformats.org/officeDocument/2006/relationships" name="Read Me" sheetId="5" r:id="R8dc13ae784b24e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3">
    <x:font>
      <x:sz val="11"/>
      <x:name val="Carlito"/>
    </x:font>
    <x:font>
      <x:b/>
      <x:sz val="18"/>
      <x:color rgb="FFFFFFFF"/>
      <x:name val="Calibri"/>
    </x:font>
    <x:font>
      <x:sz val="10"/>
      <x:color rgb="FF5B6570"/>
      <x:name val="Calibri"/>
    </x:font>
    <x:font>
      <x:b/>
      <x:sz val="11"/>
      <x:color rgb="FF00796B"/>
      <x:name val="Calibri"/>
    </x:font>
    <x:font>
      <x:b/>
      <x:sz val="11"/>
      <x:color rgb="FF00796B"/>
      <x:name val="Carlito"/>
    </x:font>
    <x:font>
      <x:sz val="10"/>
      <x:color rgb="FF5B6570"/>
      <x:name val="Carlito"/>
    </x:font>
    <x:font>
      <x:b/>
      <x:sz val="9"/>
      <x:color rgb="FFFFFFFF"/>
      <x:name val="Calibri"/>
    </x:font>
    <x:font>
      <x:sz val="9"/>
      <x:name val="Calibri"/>
    </x:font>
    <x:font>
      <x:b/>
      <x:sz val="12"/>
      <x:name val="Carlito"/>
    </x:font>
    <x:font>
      <x:sz val="12"/>
      <x:name val="Carlito"/>
    </x:font>
    <x:font>
      <x:sz val="11"/>
      <x:name val="Calibri"/>
    </x:font>
    <x:font>
      <x:b/>
      <x:sz val="12"/>
      <x:name val="Calibri"/>
    </x:font>
    <x:font>
      <x:sz val="12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EEF5"/>
      </x:patternFill>
    </x:fill>
    <x:fill>
      <x:patternFill patternType="solid">
        <x:fgColor rgb="FFE8F3F1"/>
      </x:patternFill>
    </x:fill>
    <x:fill>
      <x:patternFill patternType="solid">
        <x:fgColor rgb="FF1F4E79"/>
      </x:patternFill>
    </x:fill>
    <x:fill>
      <x:patternFill patternType="solid">
        <x:fgColor rgb="FFF8FAFC"/>
      </x:patternFill>
    </x:fill>
    <x:fill>
      <x:patternFill patternType="solid">
        <x:fgColor rgb="FFFFF2CC"/>
      </x:patternFill>
    </x:fill>
  </x:fills>
  <x:borders count="16">
    <x:border/>
    <x:border>
      <x:left style="thin">
        <x:color rgb="FFA7C7C1"/>
      </x:left>
      <x:top style="thin">
        <x:color rgb="FFA7C7C1"/>
      </x:top>
      <x:bottom style="thin">
        <x:color rgb="FFA7C7C1"/>
      </x:bottom>
    </x:border>
    <x:border>
      <x:top style="thin">
        <x:color rgb="FFA7C7C1"/>
      </x:top>
      <x:bottom style="thin">
        <x:color rgb="FFA7C7C1"/>
      </x:bottom>
    </x:border>
    <x:border>
      <x:right style="thin">
        <x:color rgb="FFA7C7C1"/>
      </x:right>
      <x:top style="thin">
        <x:color rgb="FFA7C7C1"/>
      </x:top>
      <x:bottom style="thin">
        <x:color rgb="FFA7C7C1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4" xfId="0" applyNumberFormat="1" applyFont="1" applyFill="1" applyBorder="1"/>
    <x:xf numFmtId="0" fontId="6" fillId="5" borderId="5" xfId="0" applyNumberFormat="1" applyFont="1" applyFill="1" applyBorder="1"/>
    <x:xf numFmtId="0" fontId="6" fillId="5" borderId="6" xfId="0" applyNumberFormat="1" applyFont="1" applyFill="1" applyBorder="1"/>
    <x:xf numFmtId="0" fontId="6" fillId="5" borderId="4" xfId="0" applyNumberFormat="1" applyFont="1" applyFill="1" applyBorder="1" applyAlignment="1">
      <x:alignment wrapText="1"/>
    </x:xf>
    <x:xf numFmtId="0" fontId="6" fillId="5" borderId="5" xfId="0" applyNumberFormat="1" applyFont="1" applyFill="1" applyBorder="1" applyAlignment="1">
      <x:alignment wrapText="1"/>
    </x:xf>
    <x:xf numFmtId="0" fontId="6" fillId="5" borderId="6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vertical="center" wrapText="1"/>
    </x:xf>
    <x:xf numFmtId="0" fontId="6" fillId="5" borderId="5" xfId="0" applyNumberFormat="1" applyFont="1" applyFill="1" applyBorder="1" applyAlignment="1">
      <x:alignment vertical="center" wrapText="1"/>
    </x:xf>
    <x:xf numFmtId="0" fontId="6" fillId="5" borderId="6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7" xfId="0" applyNumberFormat="1" applyFont="1" applyFill="1" applyBorder="1"/>
    <x:xf numFmtId="0" fontId="7" fillId="6" borderId="8" xfId="0" applyNumberFormat="1" applyFont="1" applyFill="1" applyBorder="1"/>
    <x:xf numFmtId="0" fontId="7" fillId="6" borderId="9" xfId="0" applyNumberFormat="1" applyFont="1" applyFill="1" applyBorder="1"/>
    <x:xf numFmtId="0" fontId="7" fillId="6" borderId="10" xfId="0" applyNumberFormat="1" applyFont="1" applyFill="1" applyBorder="1"/>
    <x:xf numFmtId="0" fontId="7" fillId="6" borderId="11" xfId="0" applyNumberFormat="1" applyFont="1" applyFill="1" applyBorder="1"/>
    <x:xf numFmtId="0" fontId="7" fillId="6" borderId="12" xfId="0" applyNumberFormat="1" applyFont="1" applyFill="1" applyBorder="1"/>
    <x:xf numFmtId="0" fontId="7" fillId="6" borderId="13" xfId="0" applyNumberFormat="1" applyFont="1" applyFill="1" applyBorder="1"/>
    <x:xf numFmtId="0" fontId="7" fillId="6" borderId="14" xfId="0" applyNumberFormat="1" applyFont="1" applyFill="1" applyBorder="1"/>
    <x:xf numFmtId="0" fontId="7" fillId="6" borderId="15" xfId="0" applyNumberFormat="1" applyFont="1" applyFill="1" applyBorder="1"/>
    <x:xf numFmtId="0" fontId="7" fillId="6" borderId="7" xfId="0" applyNumberFormat="1" applyFont="1" applyFill="1" applyBorder="1" applyAlignment="1">
      <x:alignment wrapText="1"/>
    </x:xf>
    <x:xf numFmtId="0" fontId="7" fillId="6" borderId="8" xfId="0" applyNumberFormat="1" applyFont="1" applyFill="1" applyBorder="1" applyAlignment="1">
      <x:alignment wrapText="1"/>
    </x:xf>
    <x:xf numFmtId="0" fontId="7" fillId="6" borderId="9" xfId="0" applyNumberFormat="1" applyFont="1" applyFill="1" applyBorder="1" applyAlignment="1">
      <x:alignment wrapText="1"/>
    </x:xf>
    <x:xf numFmtId="0" fontId="7" fillId="6" borderId="10" xfId="0" applyNumberFormat="1" applyFont="1" applyFill="1" applyBorder="1" applyAlignment="1">
      <x:alignment wrapText="1"/>
    </x:xf>
    <x:xf numFmtId="0" fontId="7" fillId="6" borderId="11" xfId="0" applyNumberFormat="1" applyFont="1" applyFill="1" applyBorder="1" applyAlignment="1">
      <x:alignment wrapText="1"/>
    </x:xf>
    <x:xf numFmtId="0" fontId="7" fillId="6" borderId="12" xfId="0" applyNumberFormat="1" applyFont="1" applyFill="1" applyBorder="1" applyAlignment="1">
      <x:alignment wrapText="1"/>
    </x:xf>
    <x:xf numFmtId="0" fontId="7" fillId="6" borderId="13" xfId="0" applyNumberFormat="1" applyFont="1" applyFill="1" applyBorder="1" applyAlignment="1">
      <x:alignment wrapText="1"/>
    </x:xf>
    <x:xf numFmtId="0" fontId="7" fillId="6" borderId="14" xfId="0" applyNumberFormat="1" applyFont="1" applyFill="1" applyBorder="1" applyAlignment="1">
      <x:alignment wrapText="1"/>
    </x:xf>
    <x:xf numFmtId="0" fontId="7" fillId="6" borderId="15" xfId="0" applyNumberFormat="1" applyFont="1" applyFill="1" applyBorder="1" applyAlignment="1">
      <x:alignment wrapText="1"/>
    </x:xf>
    <x:xf numFmtId="0" fontId="7" fillId="6" borderId="7" xfId="0" applyNumberFormat="1" applyFont="1" applyFill="1" applyBorder="1" applyAlignment="1">
      <x:alignment vertical="top" wrapText="1"/>
    </x:xf>
    <x:xf numFmtId="0" fontId="7" fillId="6" borderId="8" xfId="0" applyNumberFormat="1" applyFont="1" applyFill="1" applyBorder="1" applyAlignment="1">
      <x:alignment vertical="top" wrapText="1"/>
    </x:xf>
    <x:xf numFmtId="0" fontId="7" fillId="6" borderId="9" xfId="0" applyNumberFormat="1" applyFont="1" applyFill="1" applyBorder="1" applyAlignment="1">
      <x:alignment vertical="top" wrapText="1"/>
    </x:xf>
    <x:xf numFmtId="0" fontId="7" fillId="6" borderId="10" xfId="0" applyNumberFormat="1" applyFont="1" applyFill="1" applyBorder="1" applyAlignment="1">
      <x:alignment vertical="top" wrapText="1"/>
    </x:xf>
    <x:xf numFmtId="0" fontId="7" fillId="6" borderId="11" xfId="0" applyNumberFormat="1" applyFont="1" applyFill="1" applyBorder="1" applyAlignment="1">
      <x:alignment vertical="top" wrapText="1"/>
    </x:xf>
    <x:xf numFmtId="0" fontId="7" fillId="6" borderId="12" xfId="0" applyNumberFormat="1" applyFont="1" applyFill="1" applyBorder="1" applyAlignment="1">
      <x:alignment vertical="top" wrapText="1"/>
    </x:xf>
    <x:xf numFmtId="0" fontId="7" fillId="6" borderId="13" xfId="0" applyNumberFormat="1" applyFont="1" applyFill="1" applyBorder="1" applyAlignment="1">
      <x:alignment vertical="top" wrapText="1"/>
    </x:xf>
    <x:xf numFmtId="0" fontId="7" fillId="6" borderId="14" xfId="0" applyNumberFormat="1" applyFont="1" applyFill="1" applyBorder="1" applyAlignment="1">
      <x:alignment vertical="top" wrapText="1"/>
    </x:xf>
    <x:xf numFmtId="0" fontId="7" fillId="6" borderId="15" xfId="0" applyNumberFormat="1" applyFont="1" applyFill="1" applyBorder="1" applyAlignment="1">
      <x:alignment vertical="top" wrapText="1"/>
    </x:xf>
    <x:xf numFmtId="0" fontId="7" fillId="7" borderId="8" xfId="0" applyNumberFormat="1" applyFont="1" applyFill="1" applyBorder="1" applyAlignment="1">
      <x:alignment vertical="top" wrapText="1"/>
    </x:xf>
    <x:xf numFmtId="0" fontId="7" fillId="7" borderId="9" xfId="0" applyNumberFormat="1" applyFont="1" applyFill="1" applyBorder="1" applyAlignment="1">
      <x:alignment vertical="top" wrapText="1"/>
    </x:xf>
    <x:xf numFmtId="0" fontId="7" fillId="7" borderId="11" xfId="0" applyNumberFormat="1" applyFont="1" applyFill="1" applyBorder="1" applyAlignment="1">
      <x:alignment vertical="top" wrapText="1"/>
    </x:xf>
    <x:xf numFmtId="0" fontId="7" fillId="7" borderId="12" xfId="0" applyNumberFormat="1" applyFont="1" applyFill="1" applyBorder="1" applyAlignment="1">
      <x:alignment vertical="top" wrapText="1"/>
    </x:xf>
    <x:xf numFmtId="0" fontId="7" fillId="7" borderId="14" xfId="0" applyNumberFormat="1" applyFont="1" applyFill="1" applyBorder="1" applyAlignment="1">
      <x:alignment vertical="top" wrapText="1"/>
    </x:xf>
    <x:xf numFmtId="0" fontId="7" fillId="7" borderId="15" xfId="0" applyNumberFormat="1" applyFont="1" applyFill="1" applyBorder="1" applyAlignment="1">
      <x:alignment vertical="top" wrapText="1"/>
    </x:xf>
    <x:xf numFmtId="200" fontId="7" fillId="7" borderId="8" xfId="0" applyNumberFormat="1" applyFont="1" applyFill="1" applyBorder="1" applyAlignment="1">
      <x:alignment vertical="top" wrapText="1"/>
    </x:xf>
    <x:xf numFmtId="200" fontId="7" fillId="7" borderId="11" xfId="0" applyNumberFormat="1" applyFont="1" applyFill="1" applyBorder="1" applyAlignment="1">
      <x:alignment vertical="top" wrapText="1"/>
    </x:xf>
    <x:xf numFmtId="200" fontId="7" fillId="7" borderId="14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top" wrapText="1"/>
    </x:xf>
    <x:xf numFmtId="200" fontId="7" fillId="7" borderId="0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7" borderId="9" xfId="0" applyNumberFormat="1" applyFont="1" applyFill="1" applyBorder="1"/>
    <x:xf numFmtId="0" fontId="0" fillId="7" borderId="12" xfId="0" applyNumberFormat="1" applyFont="1" applyFill="1" applyBorder="1"/>
    <x:xf numFmtId="0" fontId="0" fillId="7" borderId="15" xfId="0" applyNumberFormat="1" applyFont="1" applyFill="1" applyBorder="1"/>
    <x:xf numFmtId="0" fontId="8" fillId="7" borderId="9" xfId="0" applyNumberFormat="1" applyFont="1" applyFill="1" applyBorder="1"/>
    <x:xf numFmtId="0" fontId="8" fillId="7" borderId="12" xfId="0" applyNumberFormat="1" applyFont="1" applyFill="1" applyBorder="1"/>
    <x:xf numFmtId="0" fontId="8" fillId="7" borderId="15" xfId="0" applyNumberFormat="1" applyFont="1" applyFill="1" applyBorder="1"/>
    <x:xf numFmtId="0" fontId="8" fillId="7" borderId="9" xfId="0" applyNumberFormat="1" applyFont="1" applyFill="1" applyBorder="1" applyAlignment="1">
      <x:alignment horizontal="right"/>
    </x:xf>
    <x:xf numFmtId="0" fontId="8" fillId="7" borderId="12" xfId="0" applyNumberFormat="1" applyFont="1" applyFill="1" applyBorder="1" applyAlignment="1">
      <x:alignment horizontal="right"/>
    </x:xf>
    <x:xf numFmtId="0" fontId="8" fillId="7" borderId="15" xfId="0" applyNumberFormat="1" applyFont="1" applyFill="1" applyBorder="1" applyAlignment="1">
      <x:alignment horizontal="right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0" borderId="7" xfId="0" applyNumberFormat="1" applyFont="1" applyFill="1" applyBorder="1"/>
    <x:xf numFmtId="0" fontId="11" fillId="7" borderId="9" xfId="0" applyNumberFormat="1" applyFont="1" applyFill="1" applyBorder="1" applyAlignment="1">
      <x:alignment horizontal="right"/>
    </x:xf>
    <x:xf numFmtId="0" fontId="12" fillId="4" borderId="0" xfId="0" applyNumberFormat="1" applyFont="1" applyFill="1" applyBorder="1" applyAlignment="1">
      <x:alignment vertical="center" wrapText="1"/>
    </x:xf>
    <x:xf numFmtId="0" fontId="10" fillId="0" borderId="10" xfId="0" applyNumberFormat="1" applyFont="1" applyFill="1" applyBorder="1"/>
    <x:xf numFmtId="0" fontId="11" fillId="7" borderId="12" xfId="0" applyNumberFormat="1" applyFont="1" applyFill="1" applyBorder="1" applyAlignment="1">
      <x:alignment horizontal="right"/>
    </x:xf>
    <x:xf numFmtId="0" fontId="10" fillId="0" borderId="0" xfId="0" applyNumberFormat="1" applyFont="1" applyFill="1" applyBorder="1" applyAlignment="1">
      <x:alignment wrapText="1"/>
    </x:xf>
    <x:xf numFmtId="0" fontId="10" fillId="0" borderId="13" xfId="0" applyNumberFormat="1" applyFont="1" applyFill="1" applyBorder="1"/>
    <x:xf numFmtId="0" fontId="11" fillId="7" borderId="15" xfId="0" applyNumberFormat="1" applyFont="1" applyFill="1" applyBorder="1" applyAlignment="1">
      <x:alignment horizontal="right"/>
    </x:xf>
    <x:xf numFmtId="0" fontId="10" fillId="0" borderId="7" xfId="0" applyNumberFormat="1" applyFont="1" applyFill="1" applyBorder="1" applyAlignment="1">
      <x:alignment vertical="top" wrapText="1"/>
    </x:xf>
    <x:xf numFmtId="0" fontId="10" fillId="0" borderId="8" xfId="0" applyNumberFormat="1" applyFont="1" applyFill="1" applyBorder="1" applyAlignment="1">
      <x:alignment vertical="top" wrapText="1"/>
    </x:xf>
    <x:xf numFmtId="0" fontId="10" fillId="0" borderId="9" xfId="0" applyNumberFormat="1" applyFont="1" applyFill="1" applyBorder="1" applyAlignment="1">
      <x:alignment vertical="top" wrapText="1"/>
    </x:xf>
    <x:xf numFmtId="0" fontId="10" fillId="0" borderId="10" xfId="0" applyNumberFormat="1" applyFont="1" applyFill="1" applyBorder="1" applyAlignment="1">
      <x:alignment vertical="top" wrapText="1"/>
    </x:xf>
    <x:xf numFmtId="0" fontId="10" fillId="0" borderId="11" xfId="0" applyNumberFormat="1" applyFont="1" applyFill="1" applyBorder="1" applyAlignment="1">
      <x:alignment vertical="top" wrapText="1"/>
    </x:xf>
    <x:xf numFmtId="0" fontId="10" fillId="0" borderId="12" xfId="0" applyNumberFormat="1" applyFont="1" applyFill="1" applyBorder="1" applyAlignment="1">
      <x:alignment vertical="top" wrapText="1"/>
    </x:xf>
    <x:xf numFmtId="0" fontId="10" fillId="0" borderId="13" xfId="0" applyNumberFormat="1" applyFont="1" applyFill="1" applyBorder="1" applyAlignment="1">
      <x:alignment vertical="top" wrapText="1"/>
    </x:xf>
    <x:xf numFmtId="0" fontId="10" fillId="0" borderId="14" xfId="0" applyNumberFormat="1" applyFont="1" applyFill="1" applyBorder="1" applyAlignment="1">
      <x:alignment vertical="top" wrapText="1"/>
    </x:xf>
    <x:xf numFmtId="0" fontId="10" fillId="0" borderId="15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8615853f37402a" /><Relationship Type="http://schemas.openxmlformats.org/officeDocument/2006/relationships/theme" Target="/xl/theme/theme1.xml" Id="R10c49704a0ab41a3" /><Relationship Type="http://schemas.openxmlformats.org/officeDocument/2006/relationships/sharedStrings" Target="/xl/sharedStrings.xml" Id="Re9fdecc21f55480b" /><Relationship Type="http://schemas.openxmlformats.org/officeDocument/2006/relationships/worksheet" Target="/xl/worksheets/sheet1.xml" Id="Rbca46986c30e47da" /><Relationship Type="http://schemas.openxmlformats.org/officeDocument/2006/relationships/worksheet" Target="/xl/worksheets/sheet2.xml" Id="R1fe5e958cdb74b86" /><Relationship Type="http://schemas.openxmlformats.org/officeDocument/2006/relationships/worksheet" Target="/xl/worksheets/sheet3.xml" Id="Rd77f4438acb1422d" /><Relationship Type="http://schemas.openxmlformats.org/officeDocument/2006/relationships/worksheet" Target="/xl/worksheets/sheet4.xml" Id="Rce63db986af9447b" /><Relationship Type="http://schemas.openxmlformats.org/officeDocument/2006/relationships/worksheet" Target="/xl/worksheets/sheet5.xml" Id="R8dc13ae784b24e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3" t="str">
        <x:v>Recruitment Dashboard</x:v>
      </x:c>
      <x:c r="B1" s="3"/>
      <x:c r="C1" s="3"/>
      <x:c r="D1" s="3"/>
      <x:c r="E1" s="3"/>
      <x:c r="F1" s="3"/>
      <x:c r="G1" s="3"/>
      <x:c r="H1" s="3"/>
    </x:row>
    <x:row r="2">
      <x:c r="A2" s="6" t="str">
        <x:v>Task 8 completion requires 10 qualified interviews scheduled or completed</x:v>
      </x:c>
      <x:c r="B2" s="6"/>
      <x:c r="C2" s="6"/>
      <x:c r="D2" s="6"/>
      <x:c r="E2" s="6"/>
      <x:c r="F2" s="6"/>
      <x:c r="G2" s="6"/>
      <x:c r="H2" s="6"/>
    </x:row>
    <x:row r="3">
      <x:c r="A3" s="109"/>
      <x:c r="B3" s="109"/>
      <x:c r="C3" s="109"/>
      <x:c r="D3" s="109"/>
      <x:c r="E3" s="109"/>
      <x:c r="F3" s="109"/>
      <x:c r="G3" s="109"/>
      <x:c r="H3" s="109"/>
    </x:row>
    <x:row r="4" ht="30" customHeight="1">
      <x:c r="A4" s="24" t="str">
        <x:v>Pipeline metric</x:v>
      </x:c>
      <x:c r="B4" s="26" t="str">
        <x:v>Current</x:v>
      </x:c>
      <x:c r="C4" s="109"/>
      <x:c r="D4" s="24" t="str">
        <x:v>Completion rule</x:v>
      </x:c>
      <x:c r="E4" s="25"/>
      <x:c r="F4" s="25"/>
      <x:c r="G4" s="25"/>
      <x:c r="H4" s="26"/>
    </x:row>
    <x:row r="5" ht="30" customHeight="1">
      <x:c r="A5" s="110" t="str">
        <x:v>Public-source prospects</x:v>
      </x:c>
      <x:c r="B5" s="111" t="n">
        <x:f>COUNTA('Prospect Pipeline'!$A$5:$A$36)</x:f>
        <x:v>32</x:v>
      </x:c>
      <x:c r="C5" s="109"/>
      <x:c r="D5" s="112" t="str">
        <x:v>Done only when 10 doctors are both qualified and Scheduled or Completed, with interview date and channel recorded. Sent messages and unconfirmed interest do not count.</x:v>
      </x:c>
      <x:c r="E5" s="112"/>
      <x:c r="F5" s="112"/>
      <x:c r="G5" s="112"/>
      <x:c r="H5" s="112"/>
    </x:row>
    <x:row r="6" ht="30" customHeight="1">
      <x:c r="A6" s="113" t="str">
        <x:v>Strong-fit initial prospects</x:v>
      </x:c>
      <x:c r="B6" s="114" t="n">
        <x:f>COUNTIF('Prospect Pipeline'!$F$5:$F$36,"Strong fit")</x:f>
        <x:v>14</x:v>
      </x:c>
      <x:c r="C6" s="109"/>
      <x:c r="D6" s="112"/>
      <x:c r="E6" s="112"/>
      <x:c r="F6" s="112"/>
      <x:c r="G6" s="112"/>
      <x:c r="H6" s="112"/>
    </x:row>
    <x:row r="7" ht="30" customHeight="1">
      <x:c r="A7" s="113" t="str">
        <x:v>Qualified</x:v>
      </x:c>
      <x:c r="B7" s="114" t="n">
        <x:f>COUNTIF('Prospect Pipeline'!$N$5:$N$36,"Yes")</x:f>
        <x:v>0</x:v>
      </x:c>
      <x:c r="C7" s="109"/>
      <x:c r="D7" s="112"/>
      <x:c r="E7" s="112"/>
      <x:c r="F7" s="112"/>
      <x:c r="G7" s="112"/>
      <x:c r="H7" s="112"/>
    </x:row>
    <x:row r="8" ht="30" customHeight="1">
      <x:c r="A8" s="113" t="str">
        <x:v>Outreach sent</x:v>
      </x:c>
      <x:c r="B8" s="114" t="n">
        <x:f>COUNTIF('Prospect Pipeline'!$R$5:$R$36,"Sent")+COUNTIF('Prospect Pipeline'!$R$5:$R$36,"Follow-up due")+COUNTIF('Prospect Pipeline'!$R$5:$R$36,"Replied")+COUNTIF('Prospect Pipeline'!$R$5:$R$36,"Scheduled")+COUNTIF('Prospect Pipeline'!$R$5:$R$36,"Completed")</x:f>
        <x:v>5</x:v>
      </x:c>
      <x:c r="C8" s="109"/>
      <x:c r="D8" s="112"/>
      <x:c r="E8" s="112"/>
      <x:c r="F8" s="112"/>
      <x:c r="G8" s="112"/>
      <x:c r="H8" s="112"/>
    </x:row>
    <x:row r="9" ht="30" customHeight="1">
      <x:c r="A9" s="113" t="str">
        <x:v>Scheduled</x:v>
      </x:c>
      <x:c r="B9" s="114" t="n">
        <x:f>COUNTIF('Prospect Pipeline'!$R$5:$R$36,"Scheduled")</x:f>
        <x:v>0</x:v>
      </x:c>
      <x:c r="C9" s="109"/>
      <x:c r="D9" s="109"/>
      <x:c r="E9" s="109"/>
      <x:c r="F9" s="109"/>
      <x:c r="G9" s="109"/>
      <x:c r="H9" s="109"/>
    </x:row>
    <x:row r="10" ht="30" customHeight="1">
      <x:c r="A10" s="113" t="str">
        <x:v>Completed</x:v>
      </x:c>
      <x:c r="B10" s="114" t="n">
        <x:f>COUNTIF('Prospect Pipeline'!$R$5:$R$36,"Completed")</x:f>
        <x:v>0</x:v>
      </x:c>
      <x:c r="C10" s="109"/>
      <x:c r="D10" s="9" t="str">
        <x:v>Recommended first wave</x:v>
      </x:c>
      <x:c r="E10" s="10"/>
      <x:c r="F10" s="10"/>
      <x:c r="G10" s="10"/>
      <x:c r="H10" s="11"/>
    </x:row>
    <x:row r="11" ht="30" customHeight="1">
      <x:c r="A11" s="113" t="str">
        <x:v>Qualified scheduled/completed</x:v>
      </x:c>
      <x:c r="B11" s="114" t="n">
        <x:f>COUNTIFS('Prospect Pipeline'!$N$5:$N$36,"Yes",'Prospect Pipeline'!$R$5:$R$36,"Scheduled")+COUNTIFS('Prospect Pipeline'!$N$5:$N$36,"Yes",'Prospect Pipeline'!$R$5:$R$36,"Completed")</x:f>
        <x:v>0</x:v>
      </x:c>
      <x:c r="C11" s="109"/>
      <x:c r="D11" s="115" t="str">
        <x:v>Start with P-001 to P-012: personal clinics, founders/directors, or explicit diabetes-focused centers.</x:v>
      </x:c>
      <x:c r="E11" s="115"/>
      <x:c r="F11" s="115"/>
      <x:c r="G11" s="115"/>
      <x:c r="H11" s="115"/>
    </x:row>
    <x:row r="12" ht="30" customHeight="1">
      <x:c r="A12" s="116" t="str">
        <x:v>Remaining to 10</x:v>
      </x:c>
      <x:c r="B12" s="117" t="n">
        <x:f>MAX(0,10-B11)</x:f>
        <x:v>10</x:v>
      </x:c>
      <x:c r="C12" s="109"/>
      <x:c r="D12" s="115" t="str">
        <x:v>Verify ownership and ≥8 follow-ups/day in the first reply or call.</x:v>
      </x:c>
      <x:c r="E12" s="115"/>
      <x:c r="F12" s="115"/>
      <x:c r="G12" s="115"/>
      <x:c r="H12" s="115"/>
    </x:row>
    <x:row r="13" ht="30" customHeight="1">
      <x:c r="A13" s="109"/>
      <x:c r="B13" s="109"/>
      <x:c r="C13" s="109"/>
      <x:c r="D13" s="115" t="str">
        <x:v>Use one initial message and one follow-up only.</x:v>
      </x:c>
      <x:c r="E13" s="115"/>
      <x:c r="F13" s="115"/>
      <x:c r="G13" s="115"/>
      <x:c r="H13" s="115"/>
    </x:row>
    <x:row r="14" ht="30" customHeight="1">
      <x:c r="A14" s="109"/>
      <x:c r="B14" s="109"/>
      <x:c r="C14" s="109"/>
      <x:c r="D14" s="115" t="str">
        <x:v>Ask for referrals when a doctor declines because they are not the right workflow owner.</x:v>
      </x:c>
      <x:c r="E14" s="115"/>
      <x:c r="F14" s="115"/>
      <x:c r="G14" s="115"/>
      <x:c r="H14" s="115"/>
    </x:row>
    <x:row r="15" ht="30" customHeight="1">
      <x:c r="A15" s="109"/>
      <x:c r="B15" s="109"/>
      <x:c r="C15" s="109"/>
      <x:c r="D15" s="115" t="str">
        <x:v>Keep task status In progress until confirmations exist.</x:v>
      </x:c>
      <x:c r="E15" s="115"/>
      <x:c r="F15" s="115"/>
      <x:c r="G15" s="115"/>
      <x:c r="H15" s="115"/>
    </x:row>
  </x:sheetData>
  <x:mergeCells>
    <x:mergeCell ref="A1:H1"/>
    <x:mergeCell ref="A2:H2"/>
    <x:mergeCell ref="D4:H4"/>
    <x:mergeCell ref="D5:H8"/>
    <x:mergeCell ref="D10:H10"/>
    <x:mergeCell ref="D11:H11"/>
    <x:mergeCell ref="D12:H12"/>
    <x:mergeCell ref="D13:H13"/>
    <x:mergeCell ref="D14:H14"/>
    <x:mergeCell ref="D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25" hidden="0" customWidth="1"/>
    <x:col min="4" max="4" width="28" hidden="0" customWidth="1"/>
    <x:col min="5" max="5" width="18" hidden="0" customWidth="1"/>
    <x:col min="6" max="6" width="13" hidden="0" customWidth="1"/>
    <x:col min="7" max="7" width="8" hidden="0" customWidth="1"/>
    <x:col min="8" max="8" width="42" hidden="0" customWidth="1"/>
    <x:col min="9" max="9" width="42" hidden="0" customWidth="1"/>
    <x:col min="10" max="10" width="13" hidden="0" customWidth="1"/>
    <x:col min="11" max="11" width="18" hidden="0" customWidth="1"/>
    <x:col min="12" max="12" width="17" hidden="0" customWidth="1"/>
    <x:col min="13" max="13" width="17" hidden="0" customWidth="1"/>
    <x:col min="14" max="14" width="12" hidden="0" customWidth="1"/>
    <x:col min="15" max="15" width="21" hidden="0" customWidth="1"/>
    <x:col min="16" max="16" width="13" hidden="0" customWidth="1"/>
    <x:col min="17" max="17" width="13" hidden="0" customWidth="1"/>
    <x:col min="18" max="18" width="16" hidden="0" customWidth="1"/>
    <x:col min="19" max="19" width="14" hidden="0" customWidth="1"/>
    <x:col min="20" max="20" width="16" hidden="0" customWidth="1"/>
    <x:col min="21" max="21" width="14" hidden="0" customWidth="1"/>
    <x:col min="22" max="22" width="15" hidden="0" customWidth="1"/>
    <x:col min="23" max="23" width="30" hidden="0" customWidth="1"/>
  </x:cols>
  <x:sheetData>
    <x:row r="1">
      <x:c r="A1" s="2" t="str">
        <x:v>Prospect Pipeline — 32 public-source candidates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>
      <x:c r="A2" s="5" t="str">
        <x:v>Research triage only • verify ownership, repeat volume, and decision influence before counting as qualified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</x:row>
    <x:row r="3">
      <x:c r="A3" s="109"/>
      <x:c r="B3" s="109"/>
      <x:c r="C3" s="109"/>
      <x:c r="D3" s="109"/>
      <x:c r="E3" s="109"/>
      <x:c r="F3" s="109"/>
      <x:c r="G3" s="109"/>
      <x:c r="H3" s="109"/>
      <x:c r="I3" s="109"/>
      <x:c r="J3" s="109"/>
      <x:c r="K3" s="109"/>
      <x:c r="L3" s="109"/>
      <x:c r="M3" s="109"/>
      <x:c r="N3" s="109"/>
      <x:c r="O3" s="109"/>
      <x:c r="P3" s="109"/>
      <x:c r="Q3" s="109"/>
      <x:c r="R3" s="109"/>
      <x:c r="S3" s="109"/>
      <x:c r="T3" s="109"/>
      <x:c r="U3" s="109"/>
      <x:c r="V3" s="109"/>
      <x:c r="W3" s="109"/>
    </x:row>
    <x:row r="4" ht="48" customHeight="1">
      <x:c r="A4" s="24" t="str">
        <x:v>Prospect ID</x:v>
      </x:c>
      <x:c r="B4" s="25" t="str">
        <x:v>Doctor</x:v>
      </x:c>
      <x:c r="C4" s="25" t="str">
        <x:v>Publicly listed focus</x:v>
      </x:c>
      <x:c r="D4" s="25" t="str">
        <x:v>Clinic / practice</x:v>
      </x:c>
      <x:c r="E4" s="25" t="str">
        <x:v>Area</x:v>
      </x:c>
      <x:c r="F4" s="25" t="str">
        <x:v>Initial fit</x:v>
      </x:c>
      <x:c r="G4" s="25" t="str">
        <x:v>Wave</x:v>
      </x:c>
      <x:c r="H4" s="25" t="str">
        <x:v>Qualification rationale</x:v>
      </x:c>
      <x:c r="I4" s="25" t="str">
        <x:v>Source URL</x:v>
      </x:c>
      <x:c r="J4" s="25" t="str">
        <x:v>Source checked</x:v>
      </x:c>
      <x:c r="K4" s="25" t="str">
        <x:v>Owner / decision influence verified?</x:v>
      </x:c>
      <x:c r="L4" s="25" t="str">
        <x:v>Private outpatient verified?</x:v>
      </x:c>
      <x:c r="M4" s="25" t="str">
        <x:v>≥8 follow-ups/day verified?</x:v>
      </x:c>
      <x:c r="N4" s="25" t="str">
        <x:v>Qualified?</x:v>
      </x:c>
      <x:c r="O4" s="25" t="str">
        <x:v>Public outreach channel</x:v>
      </x:c>
      <x:c r="P4" s="25" t="str">
        <x:v>First outreach date</x:v>
      </x:c>
      <x:c r="Q4" s="25" t="str">
        <x:v>Last outreach date</x:v>
      </x:c>
      <x:c r="R4" s="25" t="str">
        <x:v>Outreach status</x:v>
      </x:c>
      <x:c r="S4" s="25" t="str">
        <x:v>Response category</x:v>
      </x:c>
      <x:c r="T4" s="25" t="str">
        <x:v>Objection code</x:v>
      </x:c>
      <x:c r="U4" s="25" t="str">
        <x:v>Interview date</x:v>
      </x:c>
      <x:c r="V4" s="25" t="str">
        <x:v>Interview channel</x:v>
      </x:c>
      <x:c r="W4" s="26" t="str">
        <x:v>Next action</x:v>
      </x:c>
    </x:row>
    <x:row r="5" ht="48" customHeight="1">
      <x:c r="A5" s="47" t="str">
        <x:v>P-001</x:v>
      </x:c>
      <x:c r="B5" s="48" t="str">
        <x:v>Dr. Anjali Bhatt</x:v>
      </x:c>
      <x:c r="C5" s="48" t="str">
        <x:v>Endocrinologist / diabetologist</x:v>
      </x:c>
      <x:c r="D5" s="48" t="str">
        <x:v>Dr Anjali Diabetes and Metabolic Center</x:v>
      </x:c>
      <x:c r="E5" s="48" t="str">
        <x:v>Kothrud</x:v>
      </x:c>
      <x:c r="F5" s="48" t="str">
        <x:v>Strong fit</x:v>
      </x:c>
      <x:c r="G5" s="48" t="str">
        <x:v>1</x:v>
      </x:c>
      <x:c r="H5" s="48" t="str">
        <x:v>Personal diabetes and metabolic center; private outpatient locations</x:v>
      </x:c>
      <x:c r="I5" s="48" t="str">
        <x:v>https://dranjalibhatt.com/</x:v>
      </x:c>
      <x:c r="J5" s="48" t="str">
        <x:v>2026-08-06</x:v>
      </x:c>
      <x:c r="K5" s="48" t="str">
        <x:v>Unclear</x:v>
      </x:c>
      <x:c r="L5" s="48" t="str">
        <x:v>Yes</x:v>
      </x:c>
      <x:c r="M5" s="48" t="str">
        <x:v>Unclear</x:v>
      </x:c>
      <x:c r="N5" s="48" t="str">
        <x:v>Unclear</x:v>
      </x:c>
      <x:c r="O5" s="56" t="str">
        <x:v>Email</x:v>
      </x:c>
      <x:c r="P5" s="62" t="n">
        <x:v>46240</x:v>
      </x:c>
      <x:c r="Q5" s="62" t="n">
        <x:v>46240</x:v>
      </x:c>
      <x:c r="R5" s="56" t="str">
        <x:v>Sent</x:v>
      </x:c>
      <x:c r="S5" s="56" t="str">
        <x:v>No response</x:v>
      </x:c>
      <x:c r="T5" s="56" t="str"/>
      <x:c r="U5" s="62" t="str"/>
      <x:c r="V5" s="56" t="str"/>
      <x:c r="W5" s="57" t="str">
        <x:v>Check for reply; follow up once after 3 business days</x:v>
      </x:c>
    </x:row>
    <x:row r="6" ht="48" customHeight="1">
      <x:c r="A6" s="50" t="str">
        <x:v>P-002</x:v>
      </x:c>
      <x:c r="B6" s="51" t="str">
        <x:v>Dr. Sanjeev Bakshi</x:v>
      </x:c>
      <x:c r="C6" s="51" t="str">
        <x:v>Endocrinologist / diabetologist</x:v>
      </x:c>
      <x:c r="D6" s="51" t="str">
        <x:v>Jupiter Centre for Diabetes Endocrinology &amp; Metabolism</x:v>
      </x:c>
      <x:c r="E6" s="51" t="str">
        <x:v>Sangamvadi / Erandwane</x:v>
      </x:c>
      <x:c r="F6" s="51" t="str">
        <x:v>Strong fit</x:v>
      </x:c>
      <x:c r="G6" s="51" t="str">
        <x:v>1</x:v>
      </x:c>
      <x:c r="H6" s="51" t="str">
        <x:v>Public site identifies him as director of a diabetes/endocrinology center</x:v>
      </x:c>
      <x:c r="I6" s="51" t="str">
        <x:v>https://www.drsanjeevbakshi.com/</x:v>
      </x:c>
      <x:c r="J6" s="51" t="str">
        <x:v>2026-08-06</x:v>
      </x:c>
      <x:c r="K6" s="51" t="str">
        <x:v>Unclear</x:v>
      </x:c>
      <x:c r="L6" s="51" t="str">
        <x:v>Yes</x:v>
      </x:c>
      <x:c r="M6" s="51" t="str">
        <x:v>Unclear</x:v>
      </x:c>
      <x:c r="N6" s="51" t="str">
        <x:v>Unclear</x:v>
      </x:c>
      <x:c r="O6" s="58" t="str">
        <x:v>Email</x:v>
      </x:c>
      <x:c r="P6" s="63" t="n">
        <x:v>46240</x:v>
      </x:c>
      <x:c r="Q6" s="63" t="n">
        <x:v>46240</x:v>
      </x:c>
      <x:c r="R6" s="58" t="str">
        <x:v>Sent</x:v>
      </x:c>
      <x:c r="S6" s="58" t="str">
        <x:v>No response</x:v>
      </x:c>
      <x:c r="T6" s="58" t="str"/>
      <x:c r="U6" s="63" t="str"/>
      <x:c r="V6" s="58" t="str"/>
      <x:c r="W6" s="59" t="str">
        <x:v>Check for reply; follow up once after 3 business days</x:v>
      </x:c>
    </x:row>
    <x:row r="7" ht="48" customHeight="1">
      <x:c r="A7" s="50" t="str">
        <x:v>P-003</x:v>
      </x:c>
      <x:c r="B7" s="51" t="str">
        <x:v>Dr. Varsha Jagtap</x:v>
      </x:c>
      <x:c r="C7" s="51" t="str">
        <x:v>Endocrinologist</x:v>
      </x:c>
      <x:c r="D7" s="51" t="str">
        <x:v>Jagtap Clinic and Research Centre</x:v>
      </x:c>
      <x:c r="E7" s="51" t="str">
        <x:v>Tilak Road</x:v>
      </x:c>
      <x:c r="F7" s="51" t="str">
        <x:v>Strong fit</x:v>
      </x:c>
      <x:c r="G7" s="51" t="str">
        <x:v>1</x:v>
      </x:c>
      <x:c r="H7" s="51" t="str">
        <x:v>Public profile identifies her as a founder of the clinic</x:v>
      </x:c>
      <x:c r="I7" s="51" t="str">
        <x:v>https://www.practo.com/pune/doctor/dr-varsha-jagtap-endocrinologist</x:v>
      </x:c>
      <x:c r="J7" s="51" t="str">
        <x:v>2026-08-06</x:v>
      </x:c>
      <x:c r="K7" s="51" t="str">
        <x:v>Unclear</x:v>
      </x:c>
      <x:c r="L7" s="51" t="str">
        <x:v>Yes</x:v>
      </x:c>
      <x:c r="M7" s="51" t="str">
        <x:v>Unclear</x:v>
      </x:c>
      <x:c r="N7" s="51" t="str">
        <x:v>Unclear</x:v>
      </x:c>
      <x:c r="O7" s="58" t="str">
        <x:v>Email</x:v>
      </x:c>
      <x:c r="P7" s="63" t="n">
        <x:v>46240</x:v>
      </x:c>
      <x:c r="Q7" s="63" t="n">
        <x:v>46240</x:v>
      </x:c>
      <x:c r="R7" s="58" t="str">
        <x:v>Sent</x:v>
      </x:c>
      <x:c r="S7" s="58" t="str">
        <x:v>No response</x:v>
      </x:c>
      <x:c r="T7" s="58" t="str"/>
      <x:c r="U7" s="63" t="str"/>
      <x:c r="V7" s="58" t="str"/>
      <x:c r="W7" s="59" t="str">
        <x:v>Check for reply; follow up once after 3 business days</x:v>
      </x:c>
    </x:row>
    <x:row r="8" ht="48" customHeight="1">
      <x:c r="A8" s="50" t="str">
        <x:v>P-004</x:v>
      </x:c>
      <x:c r="B8" s="51" t="str">
        <x:v>Dr. Piyush Lodha</x:v>
      </x:c>
      <x:c r="C8" s="51" t="str">
        <x:v>Endocrinologist / diabetologist</x:v>
      </x:c>
      <x:c r="D8" s="51" t="str">
        <x:v>Dr Piyush Lodha Diabetes, Thyroid and Hormone Clinic</x:v>
      </x:c>
      <x:c r="E8" s="51" t="str">
        <x:v>Swargate</x:v>
      </x:c>
      <x:c r="F8" s="51" t="str">
        <x:v>Strong fit</x:v>
      </x:c>
      <x:c r="G8" s="51" t="str">
        <x:v>1</x:v>
      </x:c>
      <x:c r="H8" s="51" t="str">
        <x:v>Named personal clinic with comprehensive diabetes focus</x:v>
      </x:c>
      <x:c r="I8" s="51" t="str">
        <x:v>https://www.practo.com/pune/doctor/piyush-lodha-endocrinologist</x:v>
      </x:c>
      <x:c r="J8" s="51" t="str">
        <x:v>2026-08-06</x:v>
      </x:c>
      <x:c r="K8" s="51" t="str">
        <x:v>Unclear</x:v>
      </x:c>
      <x:c r="L8" s="51" t="str">
        <x:v>Yes</x:v>
      </x:c>
      <x:c r="M8" s="51" t="str">
        <x:v>Unclear</x:v>
      </x:c>
      <x:c r="N8" s="51" t="str">
        <x:v>Unclear</x:v>
      </x:c>
      <x:c r="O8" s="58" t="str">
        <x:v>Email</x:v>
      </x:c>
      <x:c r="P8" s="63" t="n">
        <x:v>46240</x:v>
      </x:c>
      <x:c r="Q8" s="63" t="n">
        <x:v>46240</x:v>
      </x:c>
      <x:c r="R8" s="58" t="str">
        <x:v>Sent</x:v>
      </x:c>
      <x:c r="S8" s="58" t="str">
        <x:v>No response</x:v>
      </x:c>
      <x:c r="T8" s="58" t="str"/>
      <x:c r="U8" s="63" t="str"/>
      <x:c r="V8" s="58" t="str"/>
      <x:c r="W8" s="59" t="str">
        <x:v>Check for reply; follow up once after 3 business days</x:v>
      </x:c>
    </x:row>
    <x:row r="9" ht="48" customHeight="1">
      <x:c r="A9" s="50" t="str">
        <x:v>P-005</x:v>
      </x:c>
      <x:c r="B9" s="51" t="str">
        <x:v>Dr. Vinayak Harale</x:v>
      </x:c>
      <x:c r="C9" s="51" t="str">
        <x:v>Endocrinologist</x:v>
      </x:c>
      <x:c r="D9" s="51" t="str">
        <x:v>Supreme Clinic</x:v>
      </x:c>
      <x:c r="E9" s="51" t="str">
        <x:v>Akurdi</x:v>
      </x:c>
      <x:c r="F9" s="51" t="str">
        <x:v>Strong fit</x:v>
      </x:c>
      <x:c r="G9" s="51" t="str">
        <x:v>1</x:v>
      </x:c>
      <x:c r="H9" s="51" t="str">
        <x:v>Privately owned diabetes and endocrinology center; one endocrinologist listed</x:v>
      </x:c>
      <x:c r="I9" s="51" t="str">
        <x:v>https://www.practo.com/pune/clinics/general-endocrinology-clinics</x:v>
      </x:c>
      <x:c r="J9" s="51" t="str">
        <x:v>2026-08-06</x:v>
      </x:c>
      <x:c r="K9" s="51" t="str">
        <x:v>Unclear</x:v>
      </x:c>
      <x:c r="L9" s="51" t="str">
        <x:v>Yes</x:v>
      </x:c>
      <x:c r="M9" s="51" t="str">
        <x:v>Unclear</x:v>
      </x:c>
      <x:c r="N9" s="51" t="str">
        <x:v>Unclear</x:v>
      </x:c>
      <x:c r="O9" s="58" t="str">
        <x:v>Email</x:v>
      </x:c>
      <x:c r="P9" s="63" t="n">
        <x:v>46240</x:v>
      </x:c>
      <x:c r="Q9" s="63" t="n">
        <x:v>46240</x:v>
      </x:c>
      <x:c r="R9" s="58" t="str">
        <x:v>Delivery failed</x:v>
      </x:c>
      <x:c r="S9" s="58" t="str">
        <x:v>No response</x:v>
      </x:c>
      <x:c r="T9" s="58" t="str">
        <x:v>OTHER</x:v>
      </x:c>
      <x:c r="U9" s="63" t="str"/>
      <x:c r="V9" s="58" t="str"/>
      <x:c r="W9" s="59" t="str">
        <x:v>Verify a different public professional channel; published email bounced (550 5.1.1)</x:v>
      </x:c>
    </x:row>
    <x:row r="10" ht="48" customHeight="1">
      <x:c r="A10" s="50" t="str">
        <x:v>P-006</x:v>
      </x:c>
      <x:c r="B10" s="51" t="str">
        <x:v>Dr. Uday Phadke</x:v>
      </x:c>
      <x:c r="C10" s="51" t="str">
        <x:v>Endocrinologist / diabetologist</x:v>
      </x:c>
      <x:c r="D10" s="51" t="str">
        <x:v>Hormones &amp; Diabetes Care</x:v>
      </x:c>
      <x:c r="E10" s="51" t="str">
        <x:v>Kothrud</x:v>
      </x:c>
      <x:c r="F10" s="51" t="str">
        <x:v>Strong fit</x:v>
      </x:c>
      <x:c r="G10" s="51" t="str">
        <x:v>1</x:v>
      </x:c>
      <x:c r="H10" s="51" t="str">
        <x:v>Dedicated private endocrinology clinic with diabetes care</x:v>
      </x:c>
      <x:c r="I10" s="51" t="str">
        <x:v>https://www.practo.com/pune/clinics/general-endocrinology-clinics</x:v>
      </x:c>
      <x:c r="J10" s="51" t="str">
        <x:v>2026-08-06</x:v>
      </x:c>
      <x:c r="K10" s="51" t="str">
        <x:v>Unclear</x:v>
      </x:c>
      <x:c r="L10" s="51" t="str">
        <x:v>Yes</x:v>
      </x:c>
      <x:c r="M10" s="51" t="str">
        <x:v>Unclear</x:v>
      </x:c>
      <x:c r="N10" s="51" t="str">
        <x:v>Unclear</x:v>
      </x:c>
      <x:c r="O10" s="58" t="str"/>
      <x:c r="P10" s="63"/>
      <x:c r="Q10" s="63"/>
      <x:c r="R10" s="58" t="str">
        <x:v>Not contacted</x:v>
      </x:c>
      <x:c r="S10" s="58" t="str">
        <x:v>No response</x:v>
      </x:c>
      <x:c r="T10" s="58" t="str"/>
      <x:c r="U10" s="63" t="str"/>
      <x:c r="V10" s="58" t="str"/>
      <x:c r="W10" s="59" t="str">
        <x:v>Verify qualification and public channel</x:v>
      </x:c>
    </x:row>
    <x:row r="11" ht="48" customHeight="1">
      <x:c r="A11" s="50" t="str">
        <x:v>P-007</x:v>
      </x:c>
      <x:c r="B11" s="51" t="str">
        <x:v>Dr. Milind Patil</x:v>
      </x:c>
      <x:c r="C11" s="51" t="str">
        <x:v>Endocrinologist / diabetologist</x:v>
      </x:c>
      <x:c r="D11" s="51" t="str">
        <x:v>Swami Clinic</x:v>
      </x:c>
      <x:c r="E11" s="51" t="str">
        <x:v>Pune</x:v>
      </x:c>
      <x:c r="F11" s="51" t="str">
        <x:v>Strong fit</x:v>
      </x:c>
      <x:c r="G11" s="51" t="str">
        <x:v>1</x:v>
      </x:c>
      <x:c r="H11" s="51" t="str">
        <x:v>Personal clinic explicitly focused on diabetes and thyroid disorders</x:v>
      </x:c>
      <x:c r="I11" s="51" t="str">
        <x:v>https://www.swamiclinic.in/</x:v>
      </x:c>
      <x:c r="J11" s="51" t="str">
        <x:v>2026-08-06</x:v>
      </x:c>
      <x:c r="K11" s="51" t="str">
        <x:v>Unclear</x:v>
      </x:c>
      <x:c r="L11" s="51" t="str">
        <x:v>Yes</x:v>
      </x:c>
      <x:c r="M11" s="51" t="str">
        <x:v>Unclear</x:v>
      </x:c>
      <x:c r="N11" s="51" t="str">
        <x:v>Unclear</x:v>
      </x:c>
      <x:c r="O11" s="58" t="str"/>
      <x:c r="P11" s="63"/>
      <x:c r="Q11" s="63"/>
      <x:c r="R11" s="58" t="str">
        <x:v>Not contacted</x:v>
      </x:c>
      <x:c r="S11" s="58" t="str">
        <x:v>No response</x:v>
      </x:c>
      <x:c r="T11" s="58" t="str"/>
      <x:c r="U11" s="63" t="str"/>
      <x:c r="V11" s="58" t="str"/>
      <x:c r="W11" s="59" t="str">
        <x:v>Verify qualification and public channel</x:v>
      </x:c>
    </x:row>
    <x:row r="12" ht="48" customHeight="1">
      <x:c r="A12" s="50" t="str">
        <x:v>P-008</x:v>
      </x:c>
      <x:c r="B12" s="51" t="str">
        <x:v>Dr. Harshal Ekatpure</x:v>
      </x:c>
      <x:c r="C12" s="51" t="str">
        <x:v>Endocrinologist / diabetologist</x:v>
      </x:c>
      <x:c r="D12" s="51" t="str">
        <x:v>Private clinic / Poona Superspeciality Clinic</x:v>
      </x:c>
      <x:c r="E12" s="51" t="str">
        <x:v>Viman Nagar</x:v>
      </x:c>
      <x:c r="F12" s="51" t="str">
        <x:v>Strong fit</x:v>
      </x:c>
      <x:c r="G12" s="51" t="str">
        <x:v>1</x:v>
      </x:c>
      <x:c r="H12" s="51" t="str">
        <x:v>Personal site and private clinic presence; diabetes/endocrinology focus</x:v>
      </x:c>
      <x:c r="I12" s="51" t="str">
        <x:v>https://puneendodiabetes.com/</x:v>
      </x:c>
      <x:c r="J12" s="51" t="str">
        <x:v>2026-08-06</x:v>
      </x:c>
      <x:c r="K12" s="51" t="str">
        <x:v>Unclear</x:v>
      </x:c>
      <x:c r="L12" s="51" t="str">
        <x:v>Yes</x:v>
      </x:c>
      <x:c r="M12" s="51" t="str">
        <x:v>Unclear</x:v>
      </x:c>
      <x:c r="N12" s="51" t="str">
        <x:v>Unclear</x:v>
      </x:c>
      <x:c r="O12" s="58" t="str">
        <x:v>Email</x:v>
      </x:c>
      <x:c r="P12" s="63" t="n">
        <x:v>46240</x:v>
      </x:c>
      <x:c r="Q12" s="63" t="n">
        <x:v>46240</x:v>
      </x:c>
      <x:c r="R12" s="58" t="str">
        <x:v>Sent</x:v>
      </x:c>
      <x:c r="S12" s="58" t="str">
        <x:v>No response</x:v>
      </x:c>
      <x:c r="T12" s="58" t="str"/>
      <x:c r="U12" s="63" t="str"/>
      <x:c r="V12" s="58" t="str"/>
      <x:c r="W12" s="59" t="str">
        <x:v>Check for reply; follow up once after 3 business days</x:v>
      </x:c>
    </x:row>
    <x:row r="13" ht="48" customHeight="1">
      <x:c r="A13" s="50" t="str">
        <x:v>P-009</x:v>
      </x:c>
      <x:c r="B13" s="51" t="str">
        <x:v>Dr. Vaishali Deshmukh</x:v>
      </x:c>
      <x:c r="C13" s="51" t="str">
        <x:v>Endocrinologist / diabetologist</x:v>
      </x:c>
      <x:c r="D13" s="51" t="str">
        <x:v>Private endocrine clinic</x:v>
      </x:c>
      <x:c r="E13" s="51" t="str">
        <x:v>Pune</x:v>
      </x:c>
      <x:c r="F13" s="51" t="str">
        <x:v>Strong fit</x:v>
      </x:c>
      <x:c r="G13" s="51" t="str">
        <x:v>1</x:v>
      </x:c>
      <x:c r="H13" s="51" t="str">
        <x:v>Personal clinic site states comprehensive diabetes and endocrine care</x:v>
      </x:c>
      <x:c r="I13" s="51" t="str">
        <x:v>https://endodrvaishalideshmukh.com/</x:v>
      </x:c>
      <x:c r="J13" s="51" t="str">
        <x:v>2026-08-06</x:v>
      </x:c>
      <x:c r="K13" s="51" t="str">
        <x:v>Unclear</x:v>
      </x:c>
      <x:c r="L13" s="51" t="str">
        <x:v>Yes</x:v>
      </x:c>
      <x:c r="M13" s="51" t="str">
        <x:v>Unclear</x:v>
      </x:c>
      <x:c r="N13" s="51" t="str">
        <x:v>Unclear</x:v>
      </x:c>
      <x:c r="O13" s="58" t="str"/>
      <x:c r="P13" s="63"/>
      <x:c r="Q13" s="63"/>
      <x:c r="R13" s="58" t="str">
        <x:v>Not contacted</x:v>
      </x:c>
      <x:c r="S13" s="58" t="str">
        <x:v>No response</x:v>
      </x:c>
      <x:c r="T13" s="58" t="str"/>
      <x:c r="U13" s="63" t="str"/>
      <x:c r="V13" s="58" t="str"/>
      <x:c r="W13" s="59" t="str">
        <x:v>Verify qualification and public channel</x:v>
      </x:c>
    </x:row>
    <x:row r="14" ht="48" customHeight="1">
      <x:c r="A14" s="50" t="str">
        <x:v>P-010</x:v>
      </x:c>
      <x:c r="B14" s="51" t="str">
        <x:v>Dr. Vaishali Kasare</x:v>
      </x:c>
      <x:c r="C14" s="51" t="str">
        <x:v>Diabetologist</x:v>
      </x:c>
      <x:c r="D14" s="51" t="str">
        <x:v>Living With Diabetes, Your Sugar Clinic</x:v>
      </x:c>
      <x:c r="E14" s="51" t="str">
        <x:v>Aundh</x:v>
      </x:c>
      <x:c r="F14" s="51" t="str">
        <x:v>Strong fit</x:v>
      </x:c>
      <x:c r="G14" s="51" t="str">
        <x:v>1</x:v>
      </x:c>
      <x:c r="H14" s="51" t="str">
        <x:v>Named diabetes-focused private clinic</x:v>
      </x:c>
      <x:c r="I14" s="51" t="str">
        <x:v>https://www.practo.com/pune/diabetologist/kothrud</x:v>
      </x:c>
      <x:c r="J14" s="51" t="str">
        <x:v>2026-08-06</x:v>
      </x:c>
      <x:c r="K14" s="51" t="str">
        <x:v>Unclear</x:v>
      </x:c>
      <x:c r="L14" s="51" t="str">
        <x:v>Yes</x:v>
      </x:c>
      <x:c r="M14" s="51" t="str">
        <x:v>Unclear</x:v>
      </x:c>
      <x:c r="N14" s="51" t="str">
        <x:v>Unclear</x:v>
      </x:c>
      <x:c r="O14" s="58" t="str"/>
      <x:c r="P14" s="63"/>
      <x:c r="Q14" s="63"/>
      <x:c r="R14" s="58" t="str">
        <x:v>Not contacted</x:v>
      </x:c>
      <x:c r="S14" s="58" t="str">
        <x:v>No response</x:v>
      </x:c>
      <x:c r="T14" s="58" t="str"/>
      <x:c r="U14" s="63" t="str"/>
      <x:c r="V14" s="58" t="str"/>
      <x:c r="W14" s="59" t="str">
        <x:v>Verify qualification and public channel</x:v>
      </x:c>
    </x:row>
    <x:row r="15" ht="48" customHeight="1">
      <x:c r="A15" s="50" t="str">
        <x:v>P-011</x:v>
      </x:c>
      <x:c r="B15" s="51" t="str">
        <x:v>Dr. Nitin Gade</x:v>
      </x:c>
      <x:c r="C15" s="51" t="str">
        <x:v>Physician with diabetology focus</x:v>
      </x:c>
      <x:c r="D15" s="51" t="str">
        <x:v>Dr. Gade's Diabetes &amp; Women's Clinic</x:v>
      </x:c>
      <x:c r="E15" s="51" t="str">
        <x:v>Pimpri-Chinchwad</x:v>
      </x:c>
      <x:c r="F15" s="51" t="str">
        <x:v>Strong fit</x:v>
      </x:c>
      <x:c r="G15" s="51" t="str">
        <x:v>1</x:v>
      </x:c>
      <x:c r="H15" s="51" t="str">
        <x:v>Named diabetes clinic with single diabetologist listing</x:v>
      </x:c>
      <x:c r="I15" s="51" t="str">
        <x:v>https://www.practo.com/pune/clinics/diabetology-clinics/pimpri-chinchwad</x:v>
      </x:c>
      <x:c r="J15" s="51" t="str">
        <x:v>2026-08-06</x:v>
      </x:c>
      <x:c r="K15" s="51" t="str">
        <x:v>Unclear</x:v>
      </x:c>
      <x:c r="L15" s="51" t="str">
        <x:v>Yes</x:v>
      </x:c>
      <x:c r="M15" s="51" t="str">
        <x:v>Unclear</x:v>
      </x:c>
      <x:c r="N15" s="51" t="str">
        <x:v>Unclear</x:v>
      </x:c>
      <x:c r="O15" s="58" t="str"/>
      <x:c r="P15" s="63"/>
      <x:c r="Q15" s="63"/>
      <x:c r="R15" s="58" t="str">
        <x:v>Not contacted</x:v>
      </x:c>
      <x:c r="S15" s="58" t="str">
        <x:v>No response</x:v>
      </x:c>
      <x:c r="T15" s="58" t="str"/>
      <x:c r="U15" s="63" t="str"/>
      <x:c r="V15" s="58" t="str"/>
      <x:c r="W15" s="59" t="str">
        <x:v>Verify qualification and public channel</x:v>
      </x:c>
    </x:row>
    <x:row r="16" ht="48" customHeight="1">
      <x:c r="A16" s="50" t="str">
        <x:v>P-012</x:v>
      </x:c>
      <x:c r="B16" s="51" t="str">
        <x:v>Dr. Prathamesh Teje</x:v>
      </x:c>
      <x:c r="C16" s="51" t="str">
        <x:v>Physician / diabetologist</x:v>
      </x:c>
      <x:c r="D16" s="51" t="str">
        <x:v>Teje's Physician &amp; Diabetology Clinic</x:v>
      </x:c>
      <x:c r="E16" s="51" t="str">
        <x:v>Pimpri-Chinchwad</x:v>
      </x:c>
      <x:c r="F16" s="51" t="str">
        <x:v>Strong fit</x:v>
      </x:c>
      <x:c r="G16" s="51" t="str">
        <x:v>1</x:v>
      </x:c>
      <x:c r="H16" s="51" t="str">
        <x:v>Personal physician and diabetology clinic</x:v>
      </x:c>
      <x:c r="I16" s="51" t="str">
        <x:v>https://drtejeprathamesh.in/</x:v>
      </x:c>
      <x:c r="J16" s="51" t="str">
        <x:v>2026-08-06</x:v>
      </x:c>
      <x:c r="K16" s="51" t="str">
        <x:v>Unclear</x:v>
      </x:c>
      <x:c r="L16" s="51" t="str">
        <x:v>Yes</x:v>
      </x:c>
      <x:c r="M16" s="51" t="str">
        <x:v>Unclear</x:v>
      </x:c>
      <x:c r="N16" s="51" t="str">
        <x:v>Unclear</x:v>
      </x:c>
      <x:c r="O16" s="58" t="str"/>
      <x:c r="P16" s="63"/>
      <x:c r="Q16" s="63"/>
      <x:c r="R16" s="58" t="str">
        <x:v>Not contacted</x:v>
      </x:c>
      <x:c r="S16" s="58" t="str">
        <x:v>No response</x:v>
      </x:c>
      <x:c r="T16" s="58" t="str"/>
      <x:c r="U16" s="63" t="str"/>
      <x:c r="V16" s="58" t="str"/>
      <x:c r="W16" s="59" t="str">
        <x:v>Verify qualification and public channel</x:v>
      </x:c>
    </x:row>
    <x:row r="17" ht="48" customHeight="1">
      <x:c r="A17" s="50" t="str">
        <x:v>P-013</x:v>
      </x:c>
      <x:c r="B17" s="51" t="str">
        <x:v>Dr. Rizwan Malik</x:v>
      </x:c>
      <x:c r="C17" s="51" t="str">
        <x:v>Physician / diabetologist</x:v>
      </x:c>
      <x:c r="D17" s="51" t="str">
        <x:v>Private diabetes and cardiac clinic</x:v>
      </x:c>
      <x:c r="E17" s="51" t="str">
        <x:v>Moshi</x:v>
      </x:c>
      <x:c r="F17" s="51" t="str">
        <x:v>Strong fit</x:v>
      </x:c>
      <x:c r="G17" s="51" t="str">
        <x:v>1</x:v>
      </x:c>
      <x:c r="H17" s="51" t="str">
        <x:v>Personal clinic site focused on diabetes and cardiac care</x:v>
      </x:c>
      <x:c r="I17" s="51" t="str">
        <x:v>https://drrizwanmalik.com/</x:v>
      </x:c>
      <x:c r="J17" s="51" t="str">
        <x:v>2026-08-06</x:v>
      </x:c>
      <x:c r="K17" s="51" t="str">
        <x:v>Unclear</x:v>
      </x:c>
      <x:c r="L17" s="51" t="str">
        <x:v>Yes</x:v>
      </x:c>
      <x:c r="M17" s="51" t="str">
        <x:v>Unclear</x:v>
      </x:c>
      <x:c r="N17" s="51" t="str">
        <x:v>Unclear</x:v>
      </x:c>
      <x:c r="O17" s="58" t="str"/>
      <x:c r="P17" s="63"/>
      <x:c r="Q17" s="63"/>
      <x:c r="R17" s="58" t="str">
        <x:v>Not contacted</x:v>
      </x:c>
      <x:c r="S17" s="58" t="str">
        <x:v>No response</x:v>
      </x:c>
      <x:c r="T17" s="58" t="str"/>
      <x:c r="U17" s="63" t="str"/>
      <x:c r="V17" s="58" t="str"/>
      <x:c r="W17" s="59" t="str">
        <x:v>Verify qualification and public channel</x:v>
      </x:c>
    </x:row>
    <x:row r="18" ht="48" customHeight="1">
      <x:c r="A18" s="50" t="str">
        <x:v>P-014</x:v>
      </x:c>
      <x:c r="B18" s="51" t="str">
        <x:v>Dr. Mayuresh Umalkar</x:v>
      </x:c>
      <x:c r="C18" s="51" t="str">
        <x:v>General physician / diabetologist</x:v>
      </x:c>
      <x:c r="D18" s="51" t="str">
        <x:v>Forever Health Clinic</x:v>
      </x:c>
      <x:c r="E18" s="51" t="str">
        <x:v>Pimpri-Chinchwad</x:v>
      </x:c>
      <x:c r="F18" s="51" t="str">
        <x:v>Strong fit</x:v>
      </x:c>
      <x:c r="G18" s="51" t="str">
        <x:v>1</x:v>
      </x:c>
      <x:c r="H18" s="51" t="str">
        <x:v>Private clinic with explicit diabetes management and follow-up care</x:v>
      </x:c>
      <x:c r="I18" s="51" t="str">
        <x:v>https://foreverhealthclinic.com/</x:v>
      </x:c>
      <x:c r="J18" s="51" t="str">
        <x:v>2026-08-06</x:v>
      </x:c>
      <x:c r="K18" s="51" t="str">
        <x:v>Unclear</x:v>
      </x:c>
      <x:c r="L18" s="51" t="str">
        <x:v>Yes</x:v>
      </x:c>
      <x:c r="M18" s="51" t="str">
        <x:v>Unclear</x:v>
      </x:c>
      <x:c r="N18" s="51" t="str">
        <x:v>Unclear</x:v>
      </x:c>
      <x:c r="O18" s="58" t="str"/>
      <x:c r="P18" s="63"/>
      <x:c r="Q18" s="63"/>
      <x:c r="R18" s="58" t="str">
        <x:v>Not contacted</x:v>
      </x:c>
      <x:c r="S18" s="58" t="str">
        <x:v>No response</x:v>
      </x:c>
      <x:c r="T18" s="58" t="str"/>
      <x:c r="U18" s="63" t="str"/>
      <x:c r="V18" s="58" t="str"/>
      <x:c r="W18" s="59" t="str">
        <x:v>Verify qualification and public channel</x:v>
      </x:c>
    </x:row>
    <x:row r="19" ht="48" customHeight="1">
      <x:c r="A19" s="50" t="str">
        <x:v>P-015</x:v>
      </x:c>
      <x:c r="B19" s="51" t="str">
        <x:v>Dr. Tanvi Parikh</x:v>
      </x:c>
      <x:c r="C19" s="51" t="str">
        <x:v>Endocrinologist / diabetologist</x:v>
      </x:c>
      <x:c r="D19" s="51" t="str">
        <x:v>Private practice</x:v>
      </x:c>
      <x:c r="E19" s="51" t="str">
        <x:v>Model Colony</x:v>
      </x:c>
      <x:c r="F19" s="51" t="str">
        <x:v>Likely fit</x:v>
      </x:c>
      <x:c r="G19" s="51" t="str">
        <x:v>2</x:v>
      </x:c>
      <x:c r="H19" s="51" t="str">
        <x:v>Endocrinologist and diabetologist in outpatient practice; ownership to verify</x:v>
      </x:c>
      <x:c r="I19" s="51" t="str">
        <x:v>https://www.practo.com/pune/doctor/dr-tanvi-parikh-endocrinologist/recommended</x:v>
      </x:c>
      <x:c r="J19" s="51" t="str">
        <x:v>2026-08-06</x:v>
      </x:c>
      <x:c r="K19" s="51" t="str">
        <x:v>Unclear</x:v>
      </x:c>
      <x:c r="L19" s="51" t="str">
        <x:v>Unclear</x:v>
      </x:c>
      <x:c r="M19" s="51" t="str">
        <x:v>Unclear</x:v>
      </x:c>
      <x:c r="N19" s="51" t="str">
        <x:v>Unclear</x:v>
      </x:c>
      <x:c r="O19" s="58" t="str"/>
      <x:c r="P19" s="63"/>
      <x:c r="Q19" s="63"/>
      <x:c r="R19" s="58" t="str">
        <x:v>Not contacted</x:v>
      </x:c>
      <x:c r="S19" s="58" t="str">
        <x:v>No response</x:v>
      </x:c>
      <x:c r="T19" s="58" t="str"/>
      <x:c r="U19" s="63" t="str"/>
      <x:c r="V19" s="58" t="str"/>
      <x:c r="W19" s="59" t="str">
        <x:v>Verify qualification and public channel</x:v>
      </x:c>
    </x:row>
    <x:row r="20" ht="48" customHeight="1">
      <x:c r="A20" s="50" t="str">
        <x:v>P-016</x:v>
      </x:c>
      <x:c r="B20" s="51" t="str">
        <x:v>Dr. Anupama Joshi</x:v>
      </x:c>
      <x:c r="C20" s="51" t="str">
        <x:v>Diabetologist</x:v>
      </x:c>
      <x:c r="D20" s="51" t="str">
        <x:v>Joshi Polyclinic Heart Care &amp; Shruti Pathology Lab</x:v>
      </x:c>
      <x:c r="E20" s="51" t="str">
        <x:v>Shivajinagar</x:v>
      </x:c>
      <x:c r="F20" s="51" t="str">
        <x:v>Likely fit</x:v>
      </x:c>
      <x:c r="G20" s="51" t="str">
        <x:v>2</x:v>
      </x:c>
      <x:c r="H20" s="51" t="str">
        <x:v>Diabetologist at smaller private polyclinic; decision role to verify</x:v>
      </x:c>
      <x:c r="I20" s="51" t="str">
        <x:v>https://www.practo.com/pune/diabetologist/kothrud</x:v>
      </x:c>
      <x:c r="J20" s="51" t="str">
        <x:v>2026-08-06</x:v>
      </x:c>
      <x:c r="K20" s="51" t="str">
        <x:v>Unclear</x:v>
      </x:c>
      <x:c r="L20" s="51" t="str">
        <x:v>Unclear</x:v>
      </x:c>
      <x:c r="M20" s="51" t="str">
        <x:v>Unclear</x:v>
      </x:c>
      <x:c r="N20" s="51" t="str">
        <x:v>Unclear</x:v>
      </x:c>
      <x:c r="O20" s="58" t="str"/>
      <x:c r="P20" s="63"/>
      <x:c r="Q20" s="63"/>
      <x:c r="R20" s="58" t="str">
        <x:v>Not contacted</x:v>
      </x:c>
      <x:c r="S20" s="58" t="str">
        <x:v>No response</x:v>
      </x:c>
      <x:c r="T20" s="58" t="str"/>
      <x:c r="U20" s="63" t="str"/>
      <x:c r="V20" s="58" t="str"/>
      <x:c r="W20" s="59" t="str">
        <x:v>Verify qualification and public channel</x:v>
      </x:c>
    </x:row>
    <x:row r="21" ht="48" customHeight="1">
      <x:c r="A21" s="50" t="str">
        <x:v>P-017</x:v>
      </x:c>
      <x:c r="B21" s="51" t="str">
        <x:v>Dr. Chinmay Naik</x:v>
      </x:c>
      <x:c r="C21" s="51" t="str">
        <x:v>General practitioner with diabetology focus</x:v>
      </x:c>
      <x:c r="D21" s="51" t="str">
        <x:v>Pratham Clinic</x:v>
      </x:c>
      <x:c r="E21" s="51" t="str">
        <x:v>Sadashiv Peth</x:v>
      </x:c>
      <x:c r="F21" s="51" t="str">
        <x:v>Likely fit</x:v>
      </x:c>
      <x:c r="G21" s="51" t="str">
        <x:v>2</x:v>
      </x:c>
      <x:c r="H21" s="51" t="str">
        <x:v>Small private clinic and diabetology focus; follow-up share to verify</x:v>
      </x:c>
      <x:c r="I21" s="51" t="str">
        <x:v>https://www.practo.com/pune/diabetologist/kothrud</x:v>
      </x:c>
      <x:c r="J21" s="51" t="str">
        <x:v>2026-08-06</x:v>
      </x:c>
      <x:c r="K21" s="51" t="str">
        <x:v>Unclear</x:v>
      </x:c>
      <x:c r="L21" s="51" t="str">
        <x:v>Unclear</x:v>
      </x:c>
      <x:c r="M21" s="51" t="str">
        <x:v>Unclear</x:v>
      </x:c>
      <x:c r="N21" s="51" t="str">
        <x:v>Unclear</x:v>
      </x:c>
      <x:c r="O21" s="58" t="str"/>
      <x:c r="P21" s="63"/>
      <x:c r="Q21" s="63"/>
      <x:c r="R21" s="58" t="str">
        <x:v>Not contacted</x:v>
      </x:c>
      <x:c r="S21" s="58" t="str">
        <x:v>No response</x:v>
      </x:c>
      <x:c r="T21" s="58" t="str"/>
      <x:c r="U21" s="63" t="str"/>
      <x:c r="V21" s="58" t="str"/>
      <x:c r="W21" s="59" t="str">
        <x:v>Verify qualification and public channel</x:v>
      </x:c>
    </x:row>
    <x:row r="22" ht="48" customHeight="1">
      <x:c r="A22" s="50" t="str">
        <x:v>P-018</x:v>
      </x:c>
      <x:c r="B22" s="51" t="str">
        <x:v>Dr. Abhijeet Baldota</x:v>
      </x:c>
      <x:c r="C22" s="51" t="str">
        <x:v>General physician with diabetology focus</x:v>
      </x:c>
      <x:c r="D22" s="51" t="str">
        <x:v>Alloveda Clinic</x:v>
      </x:c>
      <x:c r="E22" s="51" t="str">
        <x:v>Aundh</x:v>
      </x:c>
      <x:c r="F22" s="51" t="str">
        <x:v>Likely fit</x:v>
      </x:c>
      <x:c r="G22" s="51" t="str">
        <x:v>2</x:v>
      </x:c>
      <x:c r="H22" s="51" t="str">
        <x:v>Private clinic and substantial outpatient listing; diabetes volume to verify</x:v>
      </x:c>
      <x:c r="I22" s="51" t="str">
        <x:v>https://www.practo.com/pune/diabetologist/baner</x:v>
      </x:c>
      <x:c r="J22" s="51" t="str">
        <x:v>2026-08-06</x:v>
      </x:c>
      <x:c r="K22" s="51" t="str">
        <x:v>Unclear</x:v>
      </x:c>
      <x:c r="L22" s="51" t="str">
        <x:v>Unclear</x:v>
      </x:c>
      <x:c r="M22" s="51" t="str">
        <x:v>Unclear</x:v>
      </x:c>
      <x:c r="N22" s="51" t="str">
        <x:v>Unclear</x:v>
      </x:c>
      <x:c r="O22" s="58" t="str"/>
      <x:c r="P22" s="63"/>
      <x:c r="Q22" s="63"/>
      <x:c r="R22" s="58" t="str">
        <x:v>Not contacted</x:v>
      </x:c>
      <x:c r="S22" s="58" t="str">
        <x:v>No response</x:v>
      </x:c>
      <x:c r="T22" s="58" t="str"/>
      <x:c r="U22" s="63" t="str"/>
      <x:c r="V22" s="58" t="str"/>
      <x:c r="W22" s="59" t="str">
        <x:v>Verify qualification and public channel</x:v>
      </x:c>
    </x:row>
    <x:row r="23" ht="48" customHeight="1">
      <x:c r="A23" s="50" t="str">
        <x:v>P-019</x:v>
      </x:c>
      <x:c r="B23" s="51" t="str">
        <x:v>Dr. Shilpa Dane</x:v>
      </x:c>
      <x:c r="C23" s="51" t="str">
        <x:v>Family physician with diabetology focus</x:v>
      </x:c>
      <x:c r="D23" s="51" t="str">
        <x:v>Dev Clinic</x:v>
      </x:c>
      <x:c r="E23" s="51" t="str">
        <x:v>Pimpri-Chinchwad</x:v>
      </x:c>
      <x:c r="F23" s="51" t="str">
        <x:v>Likely fit</x:v>
      </x:c>
      <x:c r="G23" s="51" t="str">
        <x:v>2</x:v>
      </x:c>
      <x:c r="H23" s="51" t="str">
        <x:v>Private clinic listing with diabetology focus; repeat volume to verify</x:v>
      </x:c>
      <x:c r="I23" s="51" t="str">
        <x:v>https://www.practo.com/pune/diabetologist/pimpri-chinchwad</x:v>
      </x:c>
      <x:c r="J23" s="51" t="str">
        <x:v>2026-08-06</x:v>
      </x:c>
      <x:c r="K23" s="51" t="str">
        <x:v>Unclear</x:v>
      </x:c>
      <x:c r="L23" s="51" t="str">
        <x:v>Unclear</x:v>
      </x:c>
      <x:c r="M23" s="51" t="str">
        <x:v>Unclear</x:v>
      </x:c>
      <x:c r="N23" s="51" t="str">
        <x:v>Unclear</x:v>
      </x:c>
      <x:c r="O23" s="58" t="str"/>
      <x:c r="P23" s="63"/>
      <x:c r="Q23" s="63"/>
      <x:c r="R23" s="58" t="str">
        <x:v>Not contacted</x:v>
      </x:c>
      <x:c r="S23" s="58" t="str">
        <x:v>No response</x:v>
      </x:c>
      <x:c r="T23" s="58" t="str"/>
      <x:c r="U23" s="63" t="str"/>
      <x:c r="V23" s="58" t="str"/>
      <x:c r="W23" s="59" t="str">
        <x:v>Verify qualification and public channel</x:v>
      </x:c>
    </x:row>
    <x:row r="24" ht="48" customHeight="1">
      <x:c r="A24" s="50" t="str">
        <x:v>P-020</x:v>
      </x:c>
      <x:c r="B24" s="51" t="str">
        <x:v>Dr. Ravindra Singh</x:v>
      </x:c>
      <x:c r="C24" s="51" t="str">
        <x:v>Doctor with diabetology focus</x:v>
      </x:c>
      <x:c r="D24" s="51" t="str">
        <x:v>Apolline Wellness</x:v>
      </x:c>
      <x:c r="E24" s="51" t="str">
        <x:v>Pimpri-Chinchwad</x:v>
      </x:c>
      <x:c r="F24" s="51" t="str">
        <x:v>Likely fit</x:v>
      </x:c>
      <x:c r="G24" s="51" t="str">
        <x:v>2</x:v>
      </x:c>
      <x:c r="H24" s="51" t="str">
        <x:v>Private diabetology clinic listing; specialty and ownership to verify</x:v>
      </x:c>
      <x:c r="I24" s="51" t="str">
        <x:v>https://www.practo.com/pune/clinics/diabetology-clinics/pimpri-chinchwad</x:v>
      </x:c>
      <x:c r="J24" s="51" t="str">
        <x:v>2026-08-06</x:v>
      </x:c>
      <x:c r="K24" s="51" t="str">
        <x:v>Unclear</x:v>
      </x:c>
      <x:c r="L24" s="51" t="str">
        <x:v>Unclear</x:v>
      </x:c>
      <x:c r="M24" s="51" t="str">
        <x:v>Unclear</x:v>
      </x:c>
      <x:c r="N24" s="51" t="str">
        <x:v>Unclear</x:v>
      </x:c>
      <x:c r="O24" s="58" t="str"/>
      <x:c r="P24" s="63"/>
      <x:c r="Q24" s="63"/>
      <x:c r="R24" s="58" t="str">
        <x:v>Not contacted</x:v>
      </x:c>
      <x:c r="S24" s="58" t="str">
        <x:v>No response</x:v>
      </x:c>
      <x:c r="T24" s="58" t="str"/>
      <x:c r="U24" s="63" t="str"/>
      <x:c r="V24" s="58" t="str"/>
      <x:c r="W24" s="59" t="str">
        <x:v>Verify qualification and public channel</x:v>
      </x:c>
    </x:row>
    <x:row r="25" ht="48" customHeight="1">
      <x:c r="A25" s="50" t="str">
        <x:v>P-021</x:v>
      </x:c>
      <x:c r="B25" s="51" t="str">
        <x:v>Dr. Narendra Kale</x:v>
      </x:c>
      <x:c r="C25" s="51" t="str">
        <x:v>General physician with diabetology focus</x:v>
      </x:c>
      <x:c r="D25" s="51" t="str">
        <x:v>Dr. Kale Polyclinic &amp; Pathlab</x:v>
      </x:c>
      <x:c r="E25" s="51" t="str">
        <x:v>Pimple Saudagar</x:v>
      </x:c>
      <x:c r="F25" s="51" t="str">
        <x:v>Likely fit</x:v>
      </x:c>
      <x:c r="G25" s="51" t="str">
        <x:v>2</x:v>
      </x:c>
      <x:c r="H25" s="51" t="str">
        <x:v>Named private polyclinic with diabetology listing</x:v>
      </x:c>
      <x:c r="I25" s="51" t="str">
        <x:v>https://www.practo.com/pune/clinics/diabetology-clinics/pimpri-chinchwad</x:v>
      </x:c>
      <x:c r="J25" s="51" t="str">
        <x:v>2026-08-06</x:v>
      </x:c>
      <x:c r="K25" s="51" t="str">
        <x:v>Unclear</x:v>
      </x:c>
      <x:c r="L25" s="51" t="str">
        <x:v>Unclear</x:v>
      </x:c>
      <x:c r="M25" s="51" t="str">
        <x:v>Unclear</x:v>
      </x:c>
      <x:c r="N25" s="51" t="str">
        <x:v>Unclear</x:v>
      </x:c>
      <x:c r="O25" s="58" t="str"/>
      <x:c r="P25" s="63"/>
      <x:c r="Q25" s="63"/>
      <x:c r="R25" s="58" t="str">
        <x:v>Not contacted</x:v>
      </x:c>
      <x:c r="S25" s="58" t="str">
        <x:v>No response</x:v>
      </x:c>
      <x:c r="T25" s="58" t="str"/>
      <x:c r="U25" s="63" t="str"/>
      <x:c r="V25" s="58" t="str"/>
      <x:c r="W25" s="59" t="str">
        <x:v>Verify qualification and public channel</x:v>
      </x:c>
    </x:row>
    <x:row r="26" ht="48" customHeight="1">
      <x:c r="A26" s="50" t="str">
        <x:v>P-022</x:v>
      </x:c>
      <x:c r="B26" s="51" t="str">
        <x:v>Dr. Madhuri Shingade</x:v>
      </x:c>
      <x:c r="C26" s="51" t="str">
        <x:v>Doctor with diabetology focus</x:v>
      </x:c>
      <x:c r="D26" s="51" t="str">
        <x:v>Cardio-Diabetic and Children's Clinic</x:v>
      </x:c>
      <x:c r="E26" s="51" t="str">
        <x:v>Pimpri-Chinchwad</x:v>
      </x:c>
      <x:c r="F26" s="51" t="str">
        <x:v>Likely fit</x:v>
      </x:c>
      <x:c r="G26" s="51" t="str">
        <x:v>2</x:v>
      </x:c>
      <x:c r="H26" s="51" t="str">
        <x:v>Diabetes-focused smaller clinic; credentials and decision role to verify</x:v>
      </x:c>
      <x:c r="I26" s="51" t="str">
        <x:v>https://www.practo.com/pune/clinics/diabetology-clinics/pimpri-chinchwad</x:v>
      </x:c>
      <x:c r="J26" s="51" t="str">
        <x:v>2026-08-06</x:v>
      </x:c>
      <x:c r="K26" s="51" t="str">
        <x:v>Unclear</x:v>
      </x:c>
      <x:c r="L26" s="51" t="str">
        <x:v>Unclear</x:v>
      </x:c>
      <x:c r="M26" s="51" t="str">
        <x:v>Unclear</x:v>
      </x:c>
      <x:c r="N26" s="51" t="str">
        <x:v>Unclear</x:v>
      </x:c>
      <x:c r="O26" s="58" t="str"/>
      <x:c r="P26" s="63"/>
      <x:c r="Q26" s="63"/>
      <x:c r="R26" s="58" t="str">
        <x:v>Not contacted</x:v>
      </x:c>
      <x:c r="S26" s="58" t="str">
        <x:v>No response</x:v>
      </x:c>
      <x:c r="T26" s="58" t="str"/>
      <x:c r="U26" s="63" t="str"/>
      <x:c r="V26" s="58" t="str"/>
      <x:c r="W26" s="59" t="str">
        <x:v>Verify qualification and public channel</x:v>
      </x:c>
    </x:row>
    <x:row r="27" ht="48" customHeight="1">
      <x:c r="A27" s="50" t="str">
        <x:v>P-023</x:v>
      </x:c>
      <x:c r="B27" s="51" t="str">
        <x:v>Dr. Salma Siddiqui</x:v>
      </x:c>
      <x:c r="C27" s="51" t="str">
        <x:v>General physician with diabetology focus</x:v>
      </x:c>
      <x:c r="D27" s="51" t="str">
        <x:v>Pinnacle Health Care Clinic and Diagnostics</x:v>
      </x:c>
      <x:c r="E27" s="51" t="str">
        <x:v>Pimple Saudagar</x:v>
      </x:c>
      <x:c r="F27" s="51" t="str">
        <x:v>Likely fit</x:v>
      </x:c>
      <x:c r="G27" s="51" t="str">
        <x:v>2</x:v>
      </x:c>
      <x:c r="H27" s="51" t="str">
        <x:v>Private clinic listing with diabetologist; diabetes share to verify</x:v>
      </x:c>
      <x:c r="I27" s="51" t="str">
        <x:v>https://www.practo.com/pune/clinics/diabetology-clinics/pimpri-chinchwad</x:v>
      </x:c>
      <x:c r="J27" s="51" t="str">
        <x:v>2026-08-06</x:v>
      </x:c>
      <x:c r="K27" s="51" t="str">
        <x:v>Unclear</x:v>
      </x:c>
      <x:c r="L27" s="51" t="str">
        <x:v>Unclear</x:v>
      </x:c>
      <x:c r="M27" s="51" t="str">
        <x:v>Unclear</x:v>
      </x:c>
      <x:c r="N27" s="51" t="str">
        <x:v>Unclear</x:v>
      </x:c>
      <x:c r="O27" s="58" t="str"/>
      <x:c r="P27" s="63"/>
      <x:c r="Q27" s="63"/>
      <x:c r="R27" s="58" t="str">
        <x:v>Not contacted</x:v>
      </x:c>
      <x:c r="S27" s="58" t="str">
        <x:v>No response</x:v>
      </x:c>
      <x:c r="T27" s="58" t="str"/>
      <x:c r="U27" s="63" t="str"/>
      <x:c r="V27" s="58" t="str"/>
      <x:c r="W27" s="59" t="str">
        <x:v>Verify qualification and public channel</x:v>
      </x:c>
    </x:row>
    <x:row r="28" ht="48" customHeight="1">
      <x:c r="A28" s="50" t="str">
        <x:v>P-024</x:v>
      </x:c>
      <x:c r="B28" s="51" t="str">
        <x:v>Dr. Bhagyesh Kulkarni</x:v>
      </x:c>
      <x:c r="C28" s="51" t="str">
        <x:v>Diabetologist</x:v>
      </x:c>
      <x:c r="D28" s="51" t="str">
        <x:v>Diabetes Free Forever Clinic</x:v>
      </x:c>
      <x:c r="E28" s="51" t="str">
        <x:v>Pimpri-Chinchwad</x:v>
      </x:c>
      <x:c r="F28" s="51" t="str">
        <x:v>Likely fit</x:v>
      </x:c>
      <x:c r="G28" s="51" t="str">
        <x:v>2</x:v>
      </x:c>
      <x:c r="H28" s="51" t="str">
        <x:v>Named private diabetes clinic; qualification details to verify directly</x:v>
      </x:c>
      <x:c r="I28" s="51" t="str">
        <x:v>https://threebestrated.in/diabetologist-doctors-in-pimpri-chinchwad-mh</x:v>
      </x:c>
      <x:c r="J28" s="51" t="str">
        <x:v>2026-08-06</x:v>
      </x:c>
      <x:c r="K28" s="51" t="str">
        <x:v>Unclear</x:v>
      </x:c>
      <x:c r="L28" s="51" t="str">
        <x:v>Unclear</x:v>
      </x:c>
      <x:c r="M28" s="51" t="str">
        <x:v>Unclear</x:v>
      </x:c>
      <x:c r="N28" s="51" t="str">
        <x:v>Unclear</x:v>
      </x:c>
      <x:c r="O28" s="58" t="str"/>
      <x:c r="P28" s="63"/>
      <x:c r="Q28" s="63"/>
      <x:c r="R28" s="58" t="str">
        <x:v>Not contacted</x:v>
      </x:c>
      <x:c r="S28" s="58" t="str">
        <x:v>No response</x:v>
      </x:c>
      <x:c r="T28" s="58" t="str"/>
      <x:c r="U28" s="63" t="str"/>
      <x:c r="V28" s="58" t="str"/>
      <x:c r="W28" s="59" t="str">
        <x:v>Verify qualification and public channel</x:v>
      </x:c>
    </x:row>
    <x:row r="29" ht="48" customHeight="1">
      <x:c r="A29" s="50" t="str">
        <x:v>P-025</x:v>
      </x:c>
      <x:c r="B29" s="51" t="str">
        <x:v>Dr. Mohan Magdum</x:v>
      </x:c>
      <x:c r="C29" s="51" t="str">
        <x:v>Endocrinologist</x:v>
      </x:c>
      <x:c r="D29" s="51" t="str">
        <x:v>Private/hospital outpatient practice</x:v>
      </x:c>
      <x:c r="E29" s="51" t="str">
        <x:v>Pimpri-Chinchwad</x:v>
      </x:c>
      <x:c r="F29" s="51" t="str">
        <x:v>Verify</x:v>
      </x:c>
      <x:c r="G29" s="51" t="str">
        <x:v>3</x:v>
      </x:c>
      <x:c r="H29" s="51" t="str">
        <x:v>Qualified endocrinologist; small-clinic and decision role not established</x:v>
      </x:c>
      <x:c r="I29" s="51" t="str">
        <x:v>https://www.practo.com/pune/endocrinologist</x:v>
      </x:c>
      <x:c r="J29" s="51" t="str">
        <x:v>2026-08-06</x:v>
      </x:c>
      <x:c r="K29" s="51" t="str">
        <x:v>Unclear</x:v>
      </x:c>
      <x:c r="L29" s="51" t="str">
        <x:v>Unclear</x:v>
      </x:c>
      <x:c r="M29" s="51" t="str">
        <x:v>Unclear</x:v>
      </x:c>
      <x:c r="N29" s="51" t="str">
        <x:v>Unclear</x:v>
      </x:c>
      <x:c r="O29" s="58" t="str"/>
      <x:c r="P29" s="63"/>
      <x:c r="Q29" s="63"/>
      <x:c r="R29" s="58" t="str">
        <x:v>Not contacted</x:v>
      </x:c>
      <x:c r="S29" s="58" t="str">
        <x:v>No response</x:v>
      </x:c>
      <x:c r="T29" s="58" t="str"/>
      <x:c r="U29" s="63" t="str"/>
      <x:c r="V29" s="58" t="str"/>
      <x:c r="W29" s="59" t="str">
        <x:v>Verify qualification and public channel</x:v>
      </x:c>
    </x:row>
    <x:row r="30" ht="48" customHeight="1">
      <x:c r="A30" s="50" t="str">
        <x:v>P-026</x:v>
      </x:c>
      <x:c r="B30" s="51" t="str">
        <x:v>Dr. Charushila Dhole</x:v>
      </x:c>
      <x:c r="C30" s="51" t="str">
        <x:v>Endocrinologist</x:v>
      </x:c>
      <x:c r="D30" s="51" t="str">
        <x:v>Hospital outpatient practice</x:v>
      </x:c>
      <x:c r="E30" s="51" t="str">
        <x:v>Pimpri-Chinchwad</x:v>
      </x:c>
      <x:c r="F30" s="51" t="str">
        <x:v>Verify</x:v>
      </x:c>
      <x:c r="G30" s="51" t="str">
        <x:v>3</x:v>
      </x:c>
      <x:c r="H30" s="51" t="str">
        <x:v>Qualified endocrinologist; owner-doctor criterion not established</x:v>
      </x:c>
      <x:c r="I30" s="51" t="str">
        <x:v>https://www.practo.com/pune/endocrinologist</x:v>
      </x:c>
      <x:c r="J30" s="51" t="str">
        <x:v>2026-08-06</x:v>
      </x:c>
      <x:c r="K30" s="51" t="str">
        <x:v>Unclear</x:v>
      </x:c>
      <x:c r="L30" s="51" t="str">
        <x:v>Unclear</x:v>
      </x:c>
      <x:c r="M30" s="51" t="str">
        <x:v>Unclear</x:v>
      </x:c>
      <x:c r="N30" s="51" t="str">
        <x:v>Unclear</x:v>
      </x:c>
      <x:c r="O30" s="58" t="str"/>
      <x:c r="P30" s="63"/>
      <x:c r="Q30" s="63"/>
      <x:c r="R30" s="58" t="str">
        <x:v>Not contacted</x:v>
      </x:c>
      <x:c r="S30" s="58" t="str">
        <x:v>No response</x:v>
      </x:c>
      <x:c r="T30" s="58" t="str"/>
      <x:c r="U30" s="63" t="str"/>
      <x:c r="V30" s="58" t="str"/>
      <x:c r="W30" s="59" t="str">
        <x:v>Verify qualification and public channel</x:v>
      </x:c>
    </x:row>
    <x:row r="31" ht="48" customHeight="1">
      <x:c r="A31" s="50" t="str">
        <x:v>P-027</x:v>
      </x:c>
      <x:c r="B31" s="51" t="str">
        <x:v>Dr. Samrat Ashok Shah</x:v>
      </x:c>
      <x:c r="C31" s="51" t="str">
        <x:v>Internal medicine with diabetology focus</x:v>
      </x:c>
      <x:c r="D31" s="51" t="str">
        <x:v>Apollo Hospitals outpatient</x:v>
      </x:c>
      <x:c r="E31" s="51" t="str">
        <x:v>Shankar Shet Road</x:v>
      </x:c>
      <x:c r="F31" s="51" t="str">
        <x:v>Verify</x:v>
      </x:c>
      <x:c r="G31" s="51" t="str">
        <x:v>3</x:v>
      </x:c>
      <x:c r="H31" s="51" t="str">
        <x:v>Diabetology focus listed; hospital-only workflow may not match beachhead</x:v>
      </x:c>
      <x:c r="I31" s="51" t="str">
        <x:v>https://www.practo.com/pune/doctors-for-complete-diabetes-care/kothrud</x:v>
      </x:c>
      <x:c r="J31" s="51" t="str">
        <x:v>2026-08-06</x:v>
      </x:c>
      <x:c r="K31" s="51" t="str">
        <x:v>Unclear</x:v>
      </x:c>
      <x:c r="L31" s="51" t="str">
        <x:v>Unclear</x:v>
      </x:c>
      <x:c r="M31" s="51" t="str">
        <x:v>Unclear</x:v>
      </x:c>
      <x:c r="N31" s="51" t="str">
        <x:v>Unclear</x:v>
      </x:c>
      <x:c r="O31" s="58" t="str"/>
      <x:c r="P31" s="63"/>
      <x:c r="Q31" s="63"/>
      <x:c r="R31" s="58" t="str">
        <x:v>Not contacted</x:v>
      </x:c>
      <x:c r="S31" s="58" t="str">
        <x:v>No response</x:v>
      </x:c>
      <x:c r="T31" s="58" t="str"/>
      <x:c r="U31" s="63" t="str"/>
      <x:c r="V31" s="58" t="str"/>
      <x:c r="W31" s="59" t="str">
        <x:v>Verify qualification and public channel</x:v>
      </x:c>
    </x:row>
    <x:row r="32" ht="48" customHeight="1">
      <x:c r="A32" s="50" t="str">
        <x:v>P-028</x:v>
      </x:c>
      <x:c r="B32" s="51" t="str">
        <x:v>Dr. Ajay Khurana Subhash</x:v>
      </x:c>
      <x:c r="C32" s="51" t="str">
        <x:v>General physician with diabetology focus</x:v>
      </x:c>
      <x:c r="D32" s="51" t="str">
        <x:v>Apollo / private outpatient</x:v>
      </x:c>
      <x:c r="E32" s="51" t="str">
        <x:v>Pune</x:v>
      </x:c>
      <x:c r="F32" s="51" t="str">
        <x:v>Verify</x:v>
      </x:c>
      <x:c r="G32" s="51" t="str">
        <x:v>3</x:v>
      </x:c>
      <x:c r="H32" s="51" t="str">
        <x:v>Diabetology focus listed; private decision role and follow-up share unclear</x:v>
      </x:c>
      <x:c r="I32" s="51" t="str">
        <x:v>https://www.practo.com/pune/doctors-for-complete-diabetes-care/kothrud</x:v>
      </x:c>
      <x:c r="J32" s="51" t="str">
        <x:v>2026-08-06</x:v>
      </x:c>
      <x:c r="K32" s="51" t="str">
        <x:v>Unclear</x:v>
      </x:c>
      <x:c r="L32" s="51" t="str">
        <x:v>Unclear</x:v>
      </x:c>
      <x:c r="M32" s="51" t="str">
        <x:v>Unclear</x:v>
      </x:c>
      <x:c r="N32" s="51" t="str">
        <x:v>Unclear</x:v>
      </x:c>
      <x:c r="O32" s="58" t="str"/>
      <x:c r="P32" s="63"/>
      <x:c r="Q32" s="63"/>
      <x:c r="R32" s="58" t="str">
        <x:v>Not contacted</x:v>
      </x:c>
      <x:c r="S32" s="58" t="str">
        <x:v>No response</x:v>
      </x:c>
      <x:c r="T32" s="58" t="str"/>
      <x:c r="U32" s="63" t="str"/>
      <x:c r="V32" s="58" t="str"/>
      <x:c r="W32" s="59" t="str">
        <x:v>Verify qualification and public channel</x:v>
      </x:c>
    </x:row>
    <x:row r="33" ht="48" customHeight="1">
      <x:c r="A33" s="50" t="str">
        <x:v>P-029</x:v>
      </x:c>
      <x:c r="B33" s="51" t="str">
        <x:v>Dr. Ajay Bansode</x:v>
      </x:c>
      <x:c r="C33" s="51" t="str">
        <x:v>Internal medicine with diabetology focus</x:v>
      </x:c>
      <x:c r="D33" s="51" t="str">
        <x:v>Fortune Hospital</x:v>
      </x:c>
      <x:c r="E33" s="51" t="str">
        <x:v>Pimpri-Chinchwad</x:v>
      </x:c>
      <x:c r="F33" s="51" t="str">
        <x:v>Verify</x:v>
      </x:c>
      <x:c r="G33" s="51" t="str">
        <x:v>3</x:v>
      </x:c>
      <x:c r="H33" s="51" t="str">
        <x:v>Diabetologist listing; independent-clinic fit not established</x:v>
      </x:c>
      <x:c r="I33" s="51" t="str">
        <x:v>https://www.practo.com/pune/clinics/diabetology-clinics/pimpri-chinchwad</x:v>
      </x:c>
      <x:c r="J33" s="51" t="str">
        <x:v>2026-08-06</x:v>
      </x:c>
      <x:c r="K33" s="51" t="str">
        <x:v>Unclear</x:v>
      </x:c>
      <x:c r="L33" s="51" t="str">
        <x:v>Unclear</x:v>
      </x:c>
      <x:c r="M33" s="51" t="str">
        <x:v>Unclear</x:v>
      </x:c>
      <x:c r="N33" s="51" t="str">
        <x:v>Unclear</x:v>
      </x:c>
      <x:c r="O33" s="58" t="str"/>
      <x:c r="P33" s="63"/>
      <x:c r="Q33" s="63"/>
      <x:c r="R33" s="58" t="str">
        <x:v>Not contacted</x:v>
      </x:c>
      <x:c r="S33" s="58" t="str">
        <x:v>No response</x:v>
      </x:c>
      <x:c r="T33" s="58" t="str"/>
      <x:c r="U33" s="63" t="str"/>
      <x:c r="V33" s="58" t="str"/>
      <x:c r="W33" s="59" t="str">
        <x:v>Verify qualification and public channel</x:v>
      </x:c>
    </x:row>
    <x:row r="34" ht="48" customHeight="1">
      <x:c r="A34" s="50" t="str">
        <x:v>P-030</x:v>
      </x:c>
      <x:c r="B34" s="51" t="str">
        <x:v>Dr. Supriya Lankepillewar</x:v>
      </x:c>
      <x:c r="C34" s="51" t="str">
        <x:v>Physician / diabetologist</x:v>
      </x:c>
      <x:c r="D34" s="51" t="str">
        <x:v>Medicover Hospitals outpatient</x:v>
      </x:c>
      <x:c r="E34" s="51" t="str">
        <x:v>Bhosari</x:v>
      </x:c>
      <x:c r="F34" s="51" t="str">
        <x:v>Verify</x:v>
      </x:c>
      <x:c r="G34" s="51" t="str">
        <x:v>3</x:v>
      </x:c>
      <x:c r="H34" s="51" t="str">
        <x:v>Explicit diabetologist role; hospital-only workflow and buying influence unclear</x:v>
      </x:c>
      <x:c r="I34" s="51" t="str">
        <x:v>https://www.medicoverhospitals.in/doctors/dr-supriya-lankepillewar</x:v>
      </x:c>
      <x:c r="J34" s="51" t="str">
        <x:v>2026-08-06</x:v>
      </x:c>
      <x:c r="K34" s="51" t="str">
        <x:v>Unclear</x:v>
      </x:c>
      <x:c r="L34" s="51" t="str">
        <x:v>Unclear</x:v>
      </x:c>
      <x:c r="M34" s="51" t="str">
        <x:v>Unclear</x:v>
      </x:c>
      <x:c r="N34" s="51" t="str">
        <x:v>Unclear</x:v>
      </x:c>
      <x:c r="O34" s="58" t="str"/>
      <x:c r="P34" s="63"/>
      <x:c r="Q34" s="63"/>
      <x:c r="R34" s="58" t="str">
        <x:v>Not contacted</x:v>
      </x:c>
      <x:c r="S34" s="58" t="str">
        <x:v>No response</x:v>
      </x:c>
      <x:c r="T34" s="58" t="str"/>
      <x:c r="U34" s="63" t="str"/>
      <x:c r="V34" s="58" t="str"/>
      <x:c r="W34" s="59" t="str">
        <x:v>Verify qualification and public channel</x:v>
      </x:c>
    </x:row>
    <x:row r="35" ht="48" customHeight="1">
      <x:c r="A35" s="50" t="str">
        <x:v>P-031</x:v>
      </x:c>
      <x:c r="B35" s="51" t="str">
        <x:v>Dr. Reema Kashiva</x:v>
      </x:c>
      <x:c r="C35" s="51" t="str">
        <x:v>Diabetes / obesity specialist</x:v>
      </x:c>
      <x:c r="D35" s="51" t="str">
        <x:v>Private diabetes and obesity practice</x:v>
      </x:c>
      <x:c r="E35" s="51" t="str">
        <x:v>Pune</x:v>
      </x:c>
      <x:c r="F35" s="51" t="str">
        <x:v>Verify</x:v>
      </x:c>
      <x:c r="G35" s="51" t="str">
        <x:v>3</x:v>
      </x:c>
      <x:c r="H35" s="51" t="str">
        <x:v>Pune diabetes specialist named in professional conference material; clinic details need verification</x:v>
      </x:c>
      <x:c r="I35" s="51" t="str">
        <x:v>https://idecpune.com/idec2025/doc/IDEC-2025-Brochure.pdf</x:v>
      </x:c>
      <x:c r="J35" s="51" t="str">
        <x:v>2026-08-06</x:v>
      </x:c>
      <x:c r="K35" s="51" t="str">
        <x:v>Unclear</x:v>
      </x:c>
      <x:c r="L35" s="51" t="str">
        <x:v>Unclear</x:v>
      </x:c>
      <x:c r="M35" s="51" t="str">
        <x:v>Unclear</x:v>
      </x:c>
      <x:c r="N35" s="51" t="str">
        <x:v>Unclear</x:v>
      </x:c>
      <x:c r="O35" s="58" t="str"/>
      <x:c r="P35" s="63"/>
      <x:c r="Q35" s="63"/>
      <x:c r="R35" s="58" t="str">
        <x:v>Not contacted</x:v>
      </x:c>
      <x:c r="S35" s="58" t="str">
        <x:v>No response</x:v>
      </x:c>
      <x:c r="T35" s="58" t="str"/>
      <x:c r="U35" s="63" t="str"/>
      <x:c r="V35" s="58" t="str"/>
      <x:c r="W35" s="59" t="str">
        <x:v>Verify qualification and public channel</x:v>
      </x:c>
    </x:row>
    <x:row r="36" ht="48" customHeight="1">
      <x:c r="A36" s="53" t="str">
        <x:v>P-032</x:v>
      </x:c>
      <x:c r="B36" s="54" t="str">
        <x:v>Dr. Satish Gupta</x:v>
      </x:c>
      <x:c r="C36" s="54" t="str">
        <x:v>General physician / diabetologist</x:v>
      </x:c>
      <x:c r="D36" s="54" t="str">
        <x:v>Private practice</x:v>
      </x:c>
      <x:c r="E36" s="54" t="str">
        <x:v>Aundh / Baner / Wakad area</x:v>
      </x:c>
      <x:c r="F36" s="54" t="str">
        <x:v>Verify</x:v>
      </x:c>
      <x:c r="G36" s="54" t="str">
        <x:v>3</x:v>
      </x:c>
      <x:c r="H36" s="54" t="str">
        <x:v>Diabetologist and continuity-focused practice described; primary professional source needed</x:v>
      </x:c>
      <x:c r="I36" s="54" t="str">
        <x:v>https://www.reddit.com/r/OrthopedicDoctorsPune/comments/1ogv7ud</x:v>
      </x:c>
      <x:c r="J36" s="54" t="str">
        <x:v>2026-08-06</x:v>
      </x:c>
      <x:c r="K36" s="54" t="str">
        <x:v>Unclear</x:v>
      </x:c>
      <x:c r="L36" s="54" t="str">
        <x:v>Unclear</x:v>
      </x:c>
      <x:c r="M36" s="54" t="str">
        <x:v>Unclear</x:v>
      </x:c>
      <x:c r="N36" s="54" t="str">
        <x:v>Unclear</x:v>
      </x:c>
      <x:c r="O36" s="60" t="str"/>
      <x:c r="P36" s="64"/>
      <x:c r="Q36" s="64"/>
      <x:c r="R36" s="60" t="str">
        <x:v>Not contacted</x:v>
      </x:c>
      <x:c r="S36" s="60" t="str">
        <x:v>No response</x:v>
      </x:c>
      <x:c r="T36" s="60" t="str"/>
      <x:c r="U36" s="64" t="str"/>
      <x:c r="V36" s="60" t="str"/>
      <x:c r="W36" s="61" t="str">
        <x:v>Verify qualification and public channel</x:v>
      </x:c>
    </x:row>
  </x:sheetData>
  <x:mergeCells>
    <x:mergeCell ref="A1:W1"/>
    <x:mergeCell ref="A2:W2"/>
  </x:mergeCells>
  <x:dataValidations count="8">
    <x:dataValidation type="list" sqref="K5:K36">
      <x:formula1>"Yes,No,Unclear"</x:formula1>
    </x:dataValidation>
    <x:dataValidation type="list" sqref="L5:L36">
      <x:formula1>"Yes,No,Unclear"</x:formula1>
    </x:dataValidation>
    <x:dataValidation type="list" sqref="M5:M36">
      <x:formula1>"Yes,No,Unclear"</x:formula1>
    </x:dataValidation>
    <x:dataValidation type="list" sqref="N5:N36">
      <x:formula1>"Yes,No,Unclear"</x:formula1>
    </x:dataValidation>
    <x:dataValidation type="list" sqref="R5:R36">
      <x:formula1>"Not contacted,Draft ready,Sent,Follow-up due,Replied,Scheduled,Completed,Declined,No response,Do not contact"</x:formula1>
    </x:dataValidation>
    <x:dataValidation type="list" sqref="S5:S36">
      <x:formula1>"No response,Positive,Neutral,Objection,Referral,Declined"</x:formula1>
    </x:dataValidation>
    <x:dataValidation type="list" sqref="T5:T36">
      <x:formula1>",TIME,NOT_RELEVANT,ALREADY_SOLVED,NO_RECORDING,PRIVACY,NO_AI,SEND_INFO,ASSISTANT,NO_BUDGET,OTHER"</x:formula1>
    </x:dataValidation>
    <x:dataValidation type="list" sqref="V5:V36">
      <x:formula1>"Phone,Video,In person,Other"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22" hidden="0" customWidth="1"/>
    <x:col min="4" max="4" width="13" hidden="0" customWidth="1"/>
    <x:col min="5" max="5" width="16" hidden="0" customWidth="1"/>
    <x:col min="6" max="6" width="20" hidden="0" customWidth="1"/>
    <x:col min="7" max="7" width="15" hidden="0" customWidth="1"/>
    <x:col min="8" max="8" width="42" hidden="0" customWidth="1"/>
    <x:col min="9" max="9" width="30" hidden="0" customWidth="1"/>
    <x:col min="10" max="10" width="14" hidden="0" customWidth="1"/>
    <x:col min="11" max="11" width="16" hidden="0" customWidth="1"/>
  </x:cols>
  <x:sheetData>
    <x:row r="1">
      <x:c r="A1" s="3" t="str">
        <x:v>Outreach Log</x:v>
      </x:c>
      <x:c r="B1" s="3"/>
      <x:c r="C1" s="3"/>
      <x:c r="D1" s="3"/>
      <x:c r="E1" s="3"/>
      <x:c r="F1" s="3"/>
      <x:c r="G1" s="3"/>
      <x:c r="H1" s="3"/>
      <x:c r="I1" s="109"/>
      <x:c r="J1" s="109"/>
      <x:c r="K1" s="109"/>
    </x:row>
    <x:row r="2">
      <x:c r="A2" s="6" t="str">
        <x:v>One row per contact attempt • enter only minimal professional outreach data</x:v>
      </x:c>
      <x:c r="B2" s="6"/>
      <x:c r="C2" s="6"/>
      <x:c r="D2" s="6"/>
      <x:c r="E2" s="6"/>
      <x:c r="F2" s="6"/>
      <x:c r="G2" s="6"/>
      <x:c r="H2" s="6"/>
      <x:c r="I2" s="109"/>
      <x:c r="J2" s="109"/>
      <x:c r="K2" s="109"/>
    </x:row>
    <x:row r="3">
      <x:c r="A3" s="109"/>
      <x:c r="B3" s="109"/>
      <x:c r="C3" s="109"/>
      <x:c r="D3" s="109"/>
      <x:c r="E3" s="109"/>
      <x:c r="F3" s="109"/>
      <x:c r="G3" s="109"/>
      <x:c r="H3" s="109"/>
      <x:c r="I3" s="109"/>
      <x:c r="J3" s="109"/>
      <x:c r="K3" s="109"/>
    </x:row>
    <x:row r="4">
      <x:c r="A4" s="24" t="str">
        <x:v>Attempt ID</x:v>
      </x:c>
      <x:c r="B4" s="25" t="str">
        <x:v>Prospect ID</x:v>
      </x:c>
      <x:c r="C4" s="25" t="str">
        <x:v>Doctor</x:v>
      </x:c>
      <x:c r="D4" s="25" t="str">
        <x:v>Attempt date</x:v>
      </x:c>
      <x:c r="E4" s="25" t="str">
        <x:v>Channel</x:v>
      </x:c>
      <x:c r="F4" s="25" t="str">
        <x:v>Message variant</x:v>
      </x:c>
      <x:c r="G4" s="25" t="str">
        <x:v>Outcome</x:v>
      </x:c>
      <x:c r="H4" s="25" t="str">
        <x:v>Response / objection summary</x:v>
      </x:c>
      <x:c r="I4" s="25" t="str">
        <x:v>Next action</x:v>
      </x:c>
      <x:c r="J4" s="25" t="str">
        <x:v>Next action date</x:v>
      </x:c>
      <x:c r="K4" s="26" t="str">
        <x:v>Owner</x:v>
      </x:c>
    </x:row>
    <x:row r="5" ht="38" customHeight="1">
      <x:c r="A5" s="68" t="str">
        <x:v>A-001</x:v>
      </x:c>
      <x:c r="B5" s="68" t="str">
        <x:v>P-001</x:v>
      </x:c>
      <x:c r="C5" s="68" t="str">
        <x:v>Dr. Anjali Bhatt</x:v>
      </x:c>
      <x:c r="D5" s="69" t="n">
        <x:v>46240</x:v>
      </x:c>
      <x:c r="E5" s="68" t="str">
        <x:v>Email</x:v>
      </x:c>
      <x:c r="F5" s="68" t="str">
        <x:v>Initial discovery request</x:v>
      </x:c>
      <x:c r="G5" s="68" t="str">
        <x:v>Sent</x:v>
      </x:c>
      <x:c r="H5" s="68" t="str"/>
      <x:c r="I5" s="68" t="str">
        <x:v>Check for reply; follow up once after 3 business days</x:v>
      </x:c>
      <x:c r="J5" s="69" t="n">
        <x:v>46245</x:v>
      </x:c>
      <x:c r="K5" s="68" t="str">
        <x:v>Neelesh</x:v>
      </x:c>
    </x:row>
    <x:row r="6" ht="38" customHeight="1">
      <x:c r="A6" s="68" t="str">
        <x:v>A-002</x:v>
      </x:c>
      <x:c r="B6" s="68" t="str">
        <x:v>P-002</x:v>
      </x:c>
      <x:c r="C6" s="68" t="str">
        <x:v>Dr. Sanjeev Bakshi</x:v>
      </x:c>
      <x:c r="D6" s="69" t="n">
        <x:v>46240</x:v>
      </x:c>
      <x:c r="E6" s="68" t="str">
        <x:v>Email</x:v>
      </x:c>
      <x:c r="F6" s="68" t="str">
        <x:v>Initial discovery request</x:v>
      </x:c>
      <x:c r="G6" s="68" t="str">
        <x:v>Sent</x:v>
      </x:c>
      <x:c r="H6" s="68" t="str"/>
      <x:c r="I6" s="68" t="str">
        <x:v>Check for reply; follow up once after 3 business days</x:v>
      </x:c>
      <x:c r="J6" s="69" t="n">
        <x:v>46245</x:v>
      </x:c>
      <x:c r="K6" s="68" t="str">
        <x:v>Neelesh</x:v>
      </x:c>
    </x:row>
    <x:row r="7" ht="38" customHeight="1">
      <x:c r="A7" s="68" t="str">
        <x:v>A-003</x:v>
      </x:c>
      <x:c r="B7" s="68" t="str">
        <x:v>P-003</x:v>
      </x:c>
      <x:c r="C7" s="68" t="str">
        <x:v>Dr. Varsha Jagtap</x:v>
      </x:c>
      <x:c r="D7" s="69" t="n">
        <x:v>46240</x:v>
      </x:c>
      <x:c r="E7" s="68" t="str">
        <x:v>Email</x:v>
      </x:c>
      <x:c r="F7" s="68" t="str">
        <x:v>Initial discovery request</x:v>
      </x:c>
      <x:c r="G7" s="68" t="str">
        <x:v>Sent</x:v>
      </x:c>
      <x:c r="H7" s="68" t="str"/>
      <x:c r="I7" s="68" t="str">
        <x:v>Check for reply; follow up once after 3 business days</x:v>
      </x:c>
      <x:c r="J7" s="69" t="n">
        <x:v>46245</x:v>
      </x:c>
      <x:c r="K7" s="68" t="str">
        <x:v>Neelesh</x:v>
      </x:c>
    </x:row>
    <x:row r="8" ht="38" customHeight="1">
      <x:c r="A8" s="68" t="str">
        <x:v>A-004</x:v>
      </x:c>
      <x:c r="B8" s="68" t="str">
        <x:v>P-004</x:v>
      </x:c>
      <x:c r="C8" s="68" t="str">
        <x:v>Dr. Piyush Lodha</x:v>
      </x:c>
      <x:c r="D8" s="69" t="n">
        <x:v>46240</x:v>
      </x:c>
      <x:c r="E8" s="68" t="str">
        <x:v>Email</x:v>
      </x:c>
      <x:c r="F8" s="68" t="str">
        <x:v>Initial discovery request</x:v>
      </x:c>
      <x:c r="G8" s="68" t="str">
        <x:v>Sent</x:v>
      </x:c>
      <x:c r="H8" s="68" t="str"/>
      <x:c r="I8" s="68" t="str">
        <x:v>Check for reply; follow up once after 3 business days</x:v>
      </x:c>
      <x:c r="J8" s="69" t="n">
        <x:v>46245</x:v>
      </x:c>
      <x:c r="K8" s="68" t="str">
        <x:v>Neelesh</x:v>
      </x:c>
    </x:row>
    <x:row r="9" ht="38" customHeight="1">
      <x:c r="A9" s="68" t="str">
        <x:v>A-005</x:v>
      </x:c>
      <x:c r="B9" s="68" t="str">
        <x:v>P-005</x:v>
      </x:c>
      <x:c r="C9" s="68" t="str">
        <x:v>Dr. Vinayak Harale</x:v>
      </x:c>
      <x:c r="D9" s="69" t="n">
        <x:v>46240</x:v>
      </x:c>
      <x:c r="E9" s="68" t="str">
        <x:v>Email</x:v>
      </x:c>
      <x:c r="F9" s="68" t="str">
        <x:v>Initial discovery request</x:v>
      </x:c>
      <x:c r="G9" s="68" t="str">
        <x:v>Delivery failed</x:v>
      </x:c>
      <x:c r="H9" s="68" t="str">
        <x:v>Published clinic mailbox rejected the message (550 5.1.1).</x:v>
      </x:c>
      <x:c r="I9" s="68" t="str">
        <x:v>Verify a different public professional channel</x:v>
      </x:c>
      <x:c r="J9" s="69"/>
      <x:c r="K9" s="68" t="str">
        <x:v>Neelesh</x:v>
      </x:c>
    </x:row>
    <x:row r="10" ht="38" customHeight="1">
      <x:c r="A10" s="68" t="str">
        <x:v>A-006</x:v>
      </x:c>
      <x:c r="B10" s="68" t="str">
        <x:v>P-008</x:v>
      </x:c>
      <x:c r="C10" s="68" t="str">
        <x:v>Dr. Harshal Ekatpure</x:v>
      </x:c>
      <x:c r="D10" s="69" t="n">
        <x:v>46240</x:v>
      </x:c>
      <x:c r="E10" s="68" t="str">
        <x:v>Email</x:v>
      </x:c>
      <x:c r="F10" s="68" t="str">
        <x:v>Initial discovery request</x:v>
      </x:c>
      <x:c r="G10" s="68" t="str">
        <x:v>Sent</x:v>
      </x:c>
      <x:c r="H10" s="68" t="str"/>
      <x:c r="I10" s="68" t="str">
        <x:v>Check for reply; follow up once after 3 business days</x:v>
      </x:c>
      <x:c r="J10" s="69" t="n">
        <x:v>46245</x:v>
      </x:c>
      <x:c r="K10" s="68" t="str">
        <x:v>Neelesh</x:v>
      </x:c>
    </x:row>
    <x:row r="11" ht="38" customHeight="1">
      <x:c r="A11" s="68"/>
      <x:c r="B11" s="68"/>
      <x:c r="C11" s="68"/>
      <x:c r="D11" s="69"/>
      <x:c r="E11" s="68"/>
      <x:c r="F11" s="68"/>
      <x:c r="G11" s="68"/>
      <x:c r="H11" s="68"/>
      <x:c r="I11" s="68"/>
      <x:c r="J11" s="69"/>
      <x:c r="K11" s="68"/>
    </x:row>
    <x:row r="12" ht="38" customHeight="1">
      <x:c r="A12" s="68"/>
      <x:c r="B12" s="68"/>
      <x:c r="C12" s="68"/>
      <x:c r="D12" s="69"/>
      <x:c r="E12" s="68"/>
      <x:c r="F12" s="68"/>
      <x:c r="G12" s="68"/>
      <x:c r="H12" s="68"/>
      <x:c r="I12" s="68"/>
      <x:c r="J12" s="69"/>
      <x:c r="K12" s="68"/>
    </x:row>
    <x:row r="13" ht="38" customHeight="1">
      <x:c r="A13" s="68"/>
      <x:c r="B13" s="68"/>
      <x:c r="C13" s="68"/>
      <x:c r="D13" s="69"/>
      <x:c r="E13" s="68"/>
      <x:c r="F13" s="68"/>
      <x:c r="G13" s="68"/>
      <x:c r="H13" s="68"/>
      <x:c r="I13" s="68"/>
      <x:c r="J13" s="69"/>
      <x:c r="K13" s="68"/>
    </x:row>
    <x:row r="14" ht="38" customHeight="1">
      <x:c r="A14" s="68"/>
      <x:c r="B14" s="68"/>
      <x:c r="C14" s="68"/>
      <x:c r="D14" s="69"/>
      <x:c r="E14" s="68"/>
      <x:c r="F14" s="68"/>
      <x:c r="G14" s="68"/>
      <x:c r="H14" s="68"/>
      <x:c r="I14" s="68"/>
      <x:c r="J14" s="69"/>
      <x:c r="K14" s="68"/>
    </x:row>
    <x:row r="15" ht="38" customHeight="1">
      <x:c r="A15" s="68"/>
      <x:c r="B15" s="68"/>
      <x:c r="C15" s="68"/>
      <x:c r="D15" s="69"/>
      <x:c r="E15" s="68"/>
      <x:c r="F15" s="68"/>
      <x:c r="G15" s="68"/>
      <x:c r="H15" s="68"/>
      <x:c r="I15" s="68"/>
      <x:c r="J15" s="69"/>
      <x:c r="K15" s="68"/>
    </x:row>
    <x:row r="16" ht="38" customHeight="1">
      <x:c r="A16" s="68"/>
      <x:c r="B16" s="68"/>
      <x:c r="C16" s="68"/>
      <x:c r="D16" s="69"/>
      <x:c r="E16" s="68"/>
      <x:c r="F16" s="68"/>
      <x:c r="G16" s="68"/>
      <x:c r="H16" s="68"/>
      <x:c r="I16" s="68"/>
      <x:c r="J16" s="69"/>
      <x:c r="K16" s="68"/>
    </x:row>
    <x:row r="17" ht="38" customHeight="1">
      <x:c r="A17" s="68"/>
      <x:c r="B17" s="68"/>
      <x:c r="C17" s="68"/>
      <x:c r="D17" s="69"/>
      <x:c r="E17" s="68"/>
      <x:c r="F17" s="68"/>
      <x:c r="G17" s="68"/>
      <x:c r="H17" s="68"/>
      <x:c r="I17" s="68"/>
      <x:c r="J17" s="69"/>
      <x:c r="K17" s="68"/>
    </x:row>
    <x:row r="18" ht="38" customHeight="1">
      <x:c r="A18" s="68"/>
      <x:c r="B18" s="68"/>
      <x:c r="C18" s="68"/>
      <x:c r="D18" s="69"/>
      <x:c r="E18" s="68"/>
      <x:c r="F18" s="68"/>
      <x:c r="G18" s="68"/>
      <x:c r="H18" s="68"/>
      <x:c r="I18" s="68"/>
      <x:c r="J18" s="69"/>
      <x:c r="K18" s="68"/>
    </x:row>
    <x:row r="19" ht="38" customHeight="1">
      <x:c r="A19" s="68"/>
      <x:c r="B19" s="68"/>
      <x:c r="C19" s="68"/>
      <x:c r="D19" s="69"/>
      <x:c r="E19" s="68"/>
      <x:c r="F19" s="68"/>
      <x:c r="G19" s="68"/>
      <x:c r="H19" s="68"/>
      <x:c r="I19" s="68"/>
      <x:c r="J19" s="69"/>
      <x:c r="K19" s="68"/>
    </x:row>
    <x:row r="20" ht="38" customHeight="1">
      <x:c r="A20" s="68"/>
      <x:c r="B20" s="68"/>
      <x:c r="C20" s="68"/>
      <x:c r="D20" s="69"/>
      <x:c r="E20" s="68"/>
      <x:c r="F20" s="68"/>
      <x:c r="G20" s="68"/>
      <x:c r="H20" s="68"/>
      <x:c r="I20" s="68"/>
      <x:c r="J20" s="69"/>
      <x:c r="K20" s="68"/>
    </x:row>
    <x:row r="21" ht="38" customHeight="1">
      <x:c r="A21" s="68"/>
      <x:c r="B21" s="68"/>
      <x:c r="C21" s="68"/>
      <x:c r="D21" s="69"/>
      <x:c r="E21" s="68"/>
      <x:c r="F21" s="68"/>
      <x:c r="G21" s="68"/>
      <x:c r="H21" s="68"/>
      <x:c r="I21" s="68"/>
      <x:c r="J21" s="69"/>
      <x:c r="K21" s="68"/>
    </x:row>
    <x:row r="22" ht="38" customHeight="1">
      <x:c r="A22" s="68"/>
      <x:c r="B22" s="68"/>
      <x:c r="C22" s="68"/>
      <x:c r="D22" s="69"/>
      <x:c r="E22" s="68"/>
      <x:c r="F22" s="68"/>
      <x:c r="G22" s="68"/>
      <x:c r="H22" s="68"/>
      <x:c r="I22" s="68"/>
      <x:c r="J22" s="69"/>
      <x:c r="K22" s="68"/>
    </x:row>
    <x:row r="23" ht="38" customHeight="1">
      <x:c r="A23" s="68"/>
      <x:c r="B23" s="68"/>
      <x:c r="C23" s="68"/>
      <x:c r="D23" s="69"/>
      <x:c r="E23" s="68"/>
      <x:c r="F23" s="68"/>
      <x:c r="G23" s="68"/>
      <x:c r="H23" s="68"/>
      <x:c r="I23" s="68"/>
      <x:c r="J23" s="69"/>
      <x:c r="K23" s="68"/>
    </x:row>
    <x:row r="24" ht="38" customHeight="1">
      <x:c r="A24" s="68"/>
      <x:c r="B24" s="68"/>
      <x:c r="C24" s="68"/>
      <x:c r="D24" s="69"/>
      <x:c r="E24" s="68"/>
      <x:c r="F24" s="68"/>
      <x:c r="G24" s="68"/>
      <x:c r="H24" s="68"/>
      <x:c r="I24" s="68"/>
      <x:c r="J24" s="69"/>
      <x:c r="K24" s="68"/>
    </x:row>
    <x:row r="25" ht="38" customHeight="1">
      <x:c r="A25" s="68"/>
      <x:c r="B25" s="68"/>
      <x:c r="C25" s="68"/>
      <x:c r="D25" s="69"/>
      <x:c r="E25" s="68"/>
      <x:c r="F25" s="68"/>
      <x:c r="G25" s="68"/>
      <x:c r="H25" s="68"/>
      <x:c r="I25" s="68"/>
      <x:c r="J25" s="69"/>
      <x:c r="K25" s="68"/>
    </x:row>
    <x:row r="26" ht="38" customHeight="1">
      <x:c r="A26" s="68"/>
      <x:c r="B26" s="68"/>
      <x:c r="C26" s="68"/>
      <x:c r="D26" s="69"/>
      <x:c r="E26" s="68"/>
      <x:c r="F26" s="68"/>
      <x:c r="G26" s="68"/>
      <x:c r="H26" s="68"/>
      <x:c r="I26" s="68"/>
      <x:c r="J26" s="69"/>
      <x:c r="K26" s="68"/>
    </x:row>
    <x:row r="27" ht="38" customHeight="1">
      <x:c r="A27" s="68"/>
      <x:c r="B27" s="68"/>
      <x:c r="C27" s="68"/>
      <x:c r="D27" s="69"/>
      <x:c r="E27" s="68"/>
      <x:c r="F27" s="68"/>
      <x:c r="G27" s="68"/>
      <x:c r="H27" s="68"/>
      <x:c r="I27" s="68"/>
      <x:c r="J27" s="69"/>
      <x:c r="K27" s="68"/>
    </x:row>
    <x:row r="28" ht="38" customHeight="1">
      <x:c r="A28" s="68"/>
      <x:c r="B28" s="68"/>
      <x:c r="C28" s="68"/>
      <x:c r="D28" s="69"/>
      <x:c r="E28" s="68"/>
      <x:c r="F28" s="68"/>
      <x:c r="G28" s="68"/>
      <x:c r="H28" s="68"/>
      <x:c r="I28" s="68"/>
      <x:c r="J28" s="69"/>
      <x:c r="K28" s="68"/>
    </x:row>
    <x:row r="29" ht="38" customHeight="1">
      <x:c r="A29" s="68"/>
      <x:c r="B29" s="68"/>
      <x:c r="C29" s="68"/>
      <x:c r="D29" s="69"/>
      <x:c r="E29" s="68"/>
      <x:c r="F29" s="68"/>
      <x:c r="G29" s="68"/>
      <x:c r="H29" s="68"/>
      <x:c r="I29" s="68"/>
      <x:c r="J29" s="69"/>
      <x:c r="K29" s="68"/>
    </x:row>
    <x:row r="30" ht="38" customHeight="1">
      <x:c r="A30" s="68"/>
      <x:c r="B30" s="68"/>
      <x:c r="C30" s="68"/>
      <x:c r="D30" s="69"/>
      <x:c r="E30" s="68"/>
      <x:c r="F30" s="68"/>
      <x:c r="G30" s="68"/>
      <x:c r="H30" s="68"/>
      <x:c r="I30" s="68"/>
      <x:c r="J30" s="69"/>
      <x:c r="K30" s="68"/>
    </x:row>
    <x:row r="31" ht="38" customHeight="1">
      <x:c r="A31" s="68"/>
      <x:c r="B31" s="68"/>
      <x:c r="C31" s="68"/>
      <x:c r="D31" s="69"/>
      <x:c r="E31" s="68"/>
      <x:c r="F31" s="68"/>
      <x:c r="G31" s="68"/>
      <x:c r="H31" s="68"/>
      <x:c r="I31" s="68"/>
      <x:c r="J31" s="69"/>
      <x:c r="K31" s="68"/>
    </x:row>
    <x:row r="32" ht="38" customHeight="1">
      <x:c r="A32" s="68"/>
      <x:c r="B32" s="68"/>
      <x:c r="C32" s="68"/>
      <x:c r="D32" s="69"/>
      <x:c r="E32" s="68"/>
      <x:c r="F32" s="68"/>
      <x:c r="G32" s="68"/>
      <x:c r="H32" s="68"/>
      <x:c r="I32" s="68"/>
      <x:c r="J32" s="69"/>
      <x:c r="K32" s="68"/>
    </x:row>
    <x:row r="33" ht="38" customHeight="1">
      <x:c r="A33" s="68"/>
      <x:c r="B33" s="68"/>
      <x:c r="C33" s="68"/>
      <x:c r="D33" s="69"/>
      <x:c r="E33" s="68"/>
      <x:c r="F33" s="68"/>
      <x:c r="G33" s="68"/>
      <x:c r="H33" s="68"/>
      <x:c r="I33" s="68"/>
      <x:c r="J33" s="69"/>
      <x:c r="K33" s="68"/>
    </x:row>
    <x:row r="34" ht="38" customHeight="1">
      <x:c r="A34" s="68"/>
      <x:c r="B34" s="68"/>
      <x:c r="C34" s="68"/>
      <x:c r="D34" s="69"/>
      <x:c r="E34" s="68"/>
      <x:c r="F34" s="68"/>
      <x:c r="G34" s="68"/>
      <x:c r="H34" s="68"/>
      <x:c r="I34" s="68"/>
      <x:c r="J34" s="69"/>
      <x:c r="K34" s="68"/>
    </x:row>
    <x:row r="35" ht="38" customHeight="1">
      <x:c r="A35" s="68"/>
      <x:c r="B35" s="68"/>
      <x:c r="C35" s="68"/>
      <x:c r="D35" s="69"/>
      <x:c r="E35" s="68"/>
      <x:c r="F35" s="68"/>
      <x:c r="G35" s="68"/>
      <x:c r="H35" s="68"/>
      <x:c r="I35" s="68"/>
      <x:c r="J35" s="69"/>
      <x:c r="K35" s="68"/>
    </x:row>
    <x:row r="36" ht="38" customHeight="1">
      <x:c r="A36" s="68"/>
      <x:c r="B36" s="68"/>
      <x:c r="C36" s="68"/>
      <x:c r="D36" s="69"/>
      <x:c r="E36" s="68"/>
      <x:c r="F36" s="68"/>
      <x:c r="G36" s="68"/>
      <x:c r="H36" s="68"/>
      <x:c r="I36" s="68"/>
      <x:c r="J36" s="69"/>
      <x:c r="K36" s="68"/>
    </x:row>
    <x:row r="37" ht="38" customHeight="1">
      <x:c r="A37" s="68"/>
      <x:c r="B37" s="68"/>
      <x:c r="C37" s="68"/>
      <x:c r="D37" s="69"/>
      <x:c r="E37" s="68"/>
      <x:c r="F37" s="68"/>
      <x:c r="G37" s="68"/>
      <x:c r="H37" s="68"/>
      <x:c r="I37" s="68"/>
      <x:c r="J37" s="69"/>
      <x:c r="K37" s="68"/>
    </x:row>
    <x:row r="38" ht="38" customHeight="1">
      <x:c r="A38" s="68"/>
      <x:c r="B38" s="68"/>
      <x:c r="C38" s="68"/>
      <x:c r="D38" s="69"/>
      <x:c r="E38" s="68"/>
      <x:c r="F38" s="68"/>
      <x:c r="G38" s="68"/>
      <x:c r="H38" s="68"/>
      <x:c r="I38" s="68"/>
      <x:c r="J38" s="69"/>
      <x:c r="K38" s="68"/>
    </x:row>
    <x:row r="39" ht="38" customHeight="1">
      <x:c r="A39" s="68"/>
      <x:c r="B39" s="68"/>
      <x:c r="C39" s="68"/>
      <x:c r="D39" s="69"/>
      <x:c r="E39" s="68"/>
      <x:c r="F39" s="68"/>
      <x:c r="G39" s="68"/>
      <x:c r="H39" s="68"/>
      <x:c r="I39" s="68"/>
      <x:c r="J39" s="69"/>
      <x:c r="K39" s="68"/>
    </x:row>
    <x:row r="40" ht="38" customHeight="1">
      <x:c r="A40" s="68"/>
      <x:c r="B40" s="68"/>
      <x:c r="C40" s="68"/>
      <x:c r="D40" s="69"/>
      <x:c r="E40" s="68"/>
      <x:c r="F40" s="68"/>
      <x:c r="G40" s="68"/>
      <x:c r="H40" s="68"/>
      <x:c r="I40" s="68"/>
      <x:c r="J40" s="69"/>
      <x:c r="K40" s="68"/>
    </x:row>
    <x:row r="41" ht="38" customHeight="1">
      <x:c r="A41" s="68"/>
      <x:c r="B41" s="68"/>
      <x:c r="C41" s="68"/>
      <x:c r="D41" s="69"/>
      <x:c r="E41" s="68"/>
      <x:c r="F41" s="68"/>
      <x:c r="G41" s="68"/>
      <x:c r="H41" s="68"/>
      <x:c r="I41" s="68"/>
      <x:c r="J41" s="69"/>
      <x:c r="K41" s="68"/>
    </x:row>
    <x:row r="42" ht="38" customHeight="1">
      <x:c r="A42" s="68"/>
      <x:c r="B42" s="68"/>
      <x:c r="C42" s="68"/>
      <x:c r="D42" s="69"/>
      <x:c r="E42" s="68"/>
      <x:c r="F42" s="68"/>
      <x:c r="G42" s="68"/>
      <x:c r="H42" s="68"/>
      <x:c r="I42" s="68"/>
      <x:c r="J42" s="69"/>
      <x:c r="K42" s="68"/>
    </x:row>
    <x:row r="43" ht="38" customHeight="1">
      <x:c r="A43" s="68"/>
      <x:c r="B43" s="68"/>
      <x:c r="C43" s="68"/>
      <x:c r="D43" s="69"/>
      <x:c r="E43" s="68"/>
      <x:c r="F43" s="68"/>
      <x:c r="G43" s="68"/>
      <x:c r="H43" s="68"/>
      <x:c r="I43" s="68"/>
      <x:c r="J43" s="69"/>
      <x:c r="K43" s="68"/>
    </x:row>
    <x:row r="44" ht="38" customHeight="1">
      <x:c r="A44" s="68"/>
      <x:c r="B44" s="68"/>
      <x:c r="C44" s="68"/>
      <x:c r="D44" s="69"/>
      <x:c r="E44" s="68"/>
      <x:c r="F44" s="68"/>
      <x:c r="G44" s="68"/>
      <x:c r="H44" s="68"/>
      <x:c r="I44" s="68"/>
      <x:c r="J44" s="69"/>
      <x:c r="K44" s="68"/>
    </x:row>
    <x:row r="45" ht="38" customHeight="1">
      <x:c r="A45" s="68"/>
      <x:c r="B45" s="68"/>
      <x:c r="C45" s="68"/>
      <x:c r="D45" s="69"/>
      <x:c r="E45" s="68"/>
      <x:c r="F45" s="68"/>
      <x:c r="G45" s="68"/>
      <x:c r="H45" s="68"/>
      <x:c r="I45" s="68"/>
      <x:c r="J45" s="69"/>
      <x:c r="K45" s="68"/>
    </x:row>
    <x:row r="46" ht="38" customHeight="1">
      <x:c r="A46" s="68"/>
      <x:c r="B46" s="68"/>
      <x:c r="C46" s="68"/>
      <x:c r="D46" s="69"/>
      <x:c r="E46" s="68"/>
      <x:c r="F46" s="68"/>
      <x:c r="G46" s="68"/>
      <x:c r="H46" s="68"/>
      <x:c r="I46" s="68"/>
      <x:c r="J46" s="69"/>
      <x:c r="K46" s="68"/>
    </x:row>
    <x:row r="47" ht="38" customHeight="1">
      <x:c r="A47" s="68"/>
      <x:c r="B47" s="68"/>
      <x:c r="C47" s="68"/>
      <x:c r="D47" s="69"/>
      <x:c r="E47" s="68"/>
      <x:c r="F47" s="68"/>
      <x:c r="G47" s="68"/>
      <x:c r="H47" s="68"/>
      <x:c r="I47" s="68"/>
      <x:c r="J47" s="69"/>
      <x:c r="K47" s="68"/>
    </x:row>
    <x:row r="48" ht="38" customHeight="1">
      <x:c r="A48" s="68"/>
      <x:c r="B48" s="68"/>
      <x:c r="C48" s="68"/>
      <x:c r="D48" s="69"/>
      <x:c r="E48" s="68"/>
      <x:c r="F48" s="68"/>
      <x:c r="G48" s="68"/>
      <x:c r="H48" s="68"/>
      <x:c r="I48" s="68"/>
      <x:c r="J48" s="69"/>
      <x:c r="K48" s="68"/>
    </x:row>
    <x:row r="49" ht="38" customHeight="1">
      <x:c r="A49" s="68"/>
      <x:c r="B49" s="68"/>
      <x:c r="C49" s="68"/>
      <x:c r="D49" s="69"/>
      <x:c r="E49" s="68"/>
      <x:c r="F49" s="68"/>
      <x:c r="G49" s="68"/>
      <x:c r="H49" s="68"/>
      <x:c r="I49" s="68"/>
      <x:c r="J49" s="69"/>
      <x:c r="K49" s="68"/>
    </x:row>
    <x:row r="50" ht="38" customHeight="1">
      <x:c r="A50" s="68"/>
      <x:c r="B50" s="68"/>
      <x:c r="C50" s="68"/>
      <x:c r="D50" s="69"/>
      <x:c r="E50" s="68"/>
      <x:c r="F50" s="68"/>
      <x:c r="G50" s="68"/>
      <x:c r="H50" s="68"/>
      <x:c r="I50" s="68"/>
      <x:c r="J50" s="69"/>
      <x:c r="K50" s="68"/>
    </x:row>
    <x:row r="51" ht="38" customHeight="1">
      <x:c r="A51" s="68"/>
      <x:c r="B51" s="68"/>
      <x:c r="C51" s="68"/>
      <x:c r="D51" s="69"/>
      <x:c r="E51" s="68"/>
      <x:c r="F51" s="68"/>
      <x:c r="G51" s="68"/>
      <x:c r="H51" s="68"/>
      <x:c r="I51" s="68"/>
      <x:c r="J51" s="69"/>
      <x:c r="K51" s="68"/>
    </x:row>
    <x:row r="52" ht="38" customHeight="1">
      <x:c r="A52" s="68"/>
      <x:c r="B52" s="68"/>
      <x:c r="C52" s="68"/>
      <x:c r="D52" s="69"/>
      <x:c r="E52" s="68"/>
      <x:c r="F52" s="68"/>
      <x:c r="G52" s="68"/>
      <x:c r="H52" s="68"/>
      <x:c r="I52" s="68"/>
      <x:c r="J52" s="69"/>
      <x:c r="K52" s="68"/>
    </x:row>
    <x:row r="53" ht="38" customHeight="1">
      <x:c r="A53" s="68"/>
      <x:c r="B53" s="68"/>
      <x:c r="C53" s="68"/>
      <x:c r="D53" s="69"/>
      <x:c r="E53" s="68"/>
      <x:c r="F53" s="68"/>
      <x:c r="G53" s="68"/>
      <x:c r="H53" s="68"/>
      <x:c r="I53" s="68"/>
      <x:c r="J53" s="69"/>
      <x:c r="K53" s="68"/>
    </x:row>
    <x:row r="54" ht="38" customHeight="1">
      <x:c r="A54" s="68"/>
      <x:c r="B54" s="68"/>
      <x:c r="C54" s="68"/>
      <x:c r="D54" s="69"/>
      <x:c r="E54" s="68"/>
      <x:c r="F54" s="68"/>
      <x:c r="G54" s="68"/>
      <x:c r="H54" s="68"/>
      <x:c r="I54" s="68"/>
      <x:c r="J54" s="69"/>
      <x:c r="K54" s="68"/>
    </x:row>
    <x:row r="55" ht="38" customHeight="1">
      <x:c r="A55" s="68"/>
      <x:c r="B55" s="68"/>
      <x:c r="C55" s="68"/>
      <x:c r="D55" s="69"/>
      <x:c r="E55" s="68"/>
      <x:c r="F55" s="68"/>
      <x:c r="G55" s="68"/>
      <x:c r="H55" s="68"/>
      <x:c r="I55" s="68"/>
      <x:c r="J55" s="69"/>
      <x:c r="K55" s="68"/>
    </x:row>
    <x:row r="56" ht="38" customHeight="1">
      <x:c r="A56" s="68"/>
      <x:c r="B56" s="68"/>
      <x:c r="C56" s="68"/>
      <x:c r="D56" s="69"/>
      <x:c r="E56" s="68"/>
      <x:c r="F56" s="68"/>
      <x:c r="G56" s="68"/>
      <x:c r="H56" s="68"/>
      <x:c r="I56" s="68"/>
      <x:c r="J56" s="69"/>
      <x:c r="K56" s="68"/>
    </x:row>
    <x:row r="57" ht="38" customHeight="1">
      <x:c r="A57" s="68"/>
      <x:c r="B57" s="68"/>
      <x:c r="C57" s="68"/>
      <x:c r="D57" s="69"/>
      <x:c r="E57" s="68"/>
      <x:c r="F57" s="68"/>
      <x:c r="G57" s="68"/>
      <x:c r="H57" s="68"/>
      <x:c r="I57" s="68"/>
      <x:c r="J57" s="69"/>
      <x:c r="K57" s="68"/>
    </x:row>
    <x:row r="58" ht="38" customHeight="1">
      <x:c r="A58" s="68"/>
      <x:c r="B58" s="68"/>
      <x:c r="C58" s="68"/>
      <x:c r="D58" s="69"/>
      <x:c r="E58" s="68"/>
      <x:c r="F58" s="68"/>
      <x:c r="G58" s="68"/>
      <x:c r="H58" s="68"/>
      <x:c r="I58" s="68"/>
      <x:c r="J58" s="69"/>
      <x:c r="K58" s="68"/>
    </x:row>
    <x:row r="59" ht="38" customHeight="1">
      <x:c r="A59" s="68"/>
      <x:c r="B59" s="68"/>
      <x:c r="C59" s="68"/>
      <x:c r="D59" s="69"/>
      <x:c r="E59" s="68"/>
      <x:c r="F59" s="68"/>
      <x:c r="G59" s="68"/>
      <x:c r="H59" s="68"/>
      <x:c r="I59" s="68"/>
      <x:c r="J59" s="69"/>
      <x:c r="K59" s="68"/>
    </x:row>
    <x:row r="60" ht="38" customHeight="1">
      <x:c r="A60" s="68"/>
      <x:c r="B60" s="68"/>
      <x:c r="C60" s="68"/>
      <x:c r="D60" s="69"/>
      <x:c r="E60" s="68"/>
      <x:c r="F60" s="68"/>
      <x:c r="G60" s="68"/>
      <x:c r="H60" s="68"/>
      <x:c r="I60" s="68"/>
      <x:c r="J60" s="69"/>
      <x:c r="K60" s="68"/>
    </x:row>
    <x:row r="61" ht="38" customHeight="1">
      <x:c r="A61" s="68"/>
      <x:c r="B61" s="68"/>
      <x:c r="C61" s="68"/>
      <x:c r="D61" s="69"/>
      <x:c r="E61" s="68"/>
      <x:c r="F61" s="68"/>
      <x:c r="G61" s="68"/>
      <x:c r="H61" s="68"/>
      <x:c r="I61" s="68"/>
      <x:c r="J61" s="69"/>
      <x:c r="K61" s="68"/>
    </x:row>
    <x:row r="62" ht="38" customHeight="1">
      <x:c r="A62" s="68"/>
      <x:c r="B62" s="68"/>
      <x:c r="C62" s="68"/>
      <x:c r="D62" s="69"/>
      <x:c r="E62" s="68"/>
      <x:c r="F62" s="68"/>
      <x:c r="G62" s="68"/>
      <x:c r="H62" s="68"/>
      <x:c r="I62" s="68"/>
      <x:c r="J62" s="69"/>
      <x:c r="K62" s="68"/>
    </x:row>
    <x:row r="63" ht="38" customHeight="1">
      <x:c r="A63" s="68"/>
      <x:c r="B63" s="68"/>
      <x:c r="C63" s="68"/>
      <x:c r="D63" s="69"/>
      <x:c r="E63" s="68"/>
      <x:c r="F63" s="68"/>
      <x:c r="G63" s="68"/>
      <x:c r="H63" s="68"/>
      <x:c r="I63" s="68"/>
      <x:c r="J63" s="69"/>
      <x:c r="K63" s="68"/>
    </x:row>
    <x:row r="64" ht="38" customHeight="1">
      <x:c r="A64" s="68"/>
      <x:c r="B64" s="68"/>
      <x:c r="C64" s="68"/>
      <x:c r="D64" s="69"/>
      <x:c r="E64" s="68"/>
      <x:c r="F64" s="68"/>
      <x:c r="G64" s="68"/>
      <x:c r="H64" s="68"/>
      <x:c r="I64" s="68"/>
      <x:c r="J64" s="69"/>
      <x:c r="K64" s="68"/>
    </x:row>
    <x:row r="65" ht="38" customHeight="1">
      <x:c r="A65" s="68"/>
      <x:c r="B65" s="68"/>
      <x:c r="C65" s="68"/>
      <x:c r="D65" s="69"/>
      <x:c r="E65" s="68"/>
      <x:c r="F65" s="68"/>
      <x:c r="G65" s="68"/>
      <x:c r="H65" s="68"/>
      <x:c r="I65" s="68"/>
      <x:c r="J65" s="69"/>
      <x:c r="K65" s="68"/>
    </x:row>
    <x:row r="66" ht="38" customHeight="1">
      <x:c r="A66" s="68"/>
      <x:c r="B66" s="68"/>
      <x:c r="C66" s="68"/>
      <x:c r="D66" s="69"/>
      <x:c r="E66" s="68"/>
      <x:c r="F66" s="68"/>
      <x:c r="G66" s="68"/>
      <x:c r="H66" s="68"/>
      <x:c r="I66" s="68"/>
      <x:c r="J66" s="69"/>
      <x:c r="K66" s="68"/>
    </x:row>
    <x:row r="67" ht="38" customHeight="1">
      <x:c r="A67" s="68"/>
      <x:c r="B67" s="68"/>
      <x:c r="C67" s="68"/>
      <x:c r="D67" s="69"/>
      <x:c r="E67" s="68"/>
      <x:c r="F67" s="68"/>
      <x:c r="G67" s="68"/>
      <x:c r="H67" s="68"/>
      <x:c r="I67" s="68"/>
      <x:c r="J67" s="69"/>
      <x:c r="K67" s="68"/>
    </x:row>
    <x:row r="68" ht="38" customHeight="1">
      <x:c r="A68" s="68"/>
      <x:c r="B68" s="68"/>
      <x:c r="C68" s="68"/>
      <x:c r="D68" s="69"/>
      <x:c r="E68" s="68"/>
      <x:c r="F68" s="68"/>
      <x:c r="G68" s="68"/>
      <x:c r="H68" s="68"/>
      <x:c r="I68" s="68"/>
      <x:c r="J68" s="69"/>
      <x:c r="K68" s="68"/>
    </x:row>
    <x:row r="69" ht="38" customHeight="1">
      <x:c r="A69" s="68"/>
      <x:c r="B69" s="68"/>
      <x:c r="C69" s="68"/>
      <x:c r="D69" s="69"/>
      <x:c r="E69" s="68"/>
      <x:c r="F69" s="68"/>
      <x:c r="G69" s="68"/>
      <x:c r="H69" s="68"/>
      <x:c r="I69" s="68"/>
      <x:c r="J69" s="69"/>
      <x:c r="K69" s="68"/>
    </x:row>
    <x:row r="70" ht="38" customHeight="1">
      <x:c r="A70" s="68"/>
      <x:c r="B70" s="68"/>
      <x:c r="C70" s="68"/>
      <x:c r="D70" s="69"/>
      <x:c r="E70" s="68"/>
      <x:c r="F70" s="68"/>
      <x:c r="G70" s="68"/>
      <x:c r="H70" s="68"/>
      <x:c r="I70" s="68"/>
      <x:c r="J70" s="69"/>
      <x:c r="K70" s="68"/>
    </x:row>
    <x:row r="71" ht="38" customHeight="1">
      <x:c r="A71" s="68"/>
      <x:c r="B71" s="68"/>
      <x:c r="C71" s="68"/>
      <x:c r="D71" s="69"/>
      <x:c r="E71" s="68"/>
      <x:c r="F71" s="68"/>
      <x:c r="G71" s="68"/>
      <x:c r="H71" s="68"/>
      <x:c r="I71" s="68"/>
      <x:c r="J71" s="69"/>
      <x:c r="K71" s="68"/>
    </x:row>
    <x:row r="72" ht="38" customHeight="1">
      <x:c r="A72" s="68"/>
      <x:c r="B72" s="68"/>
      <x:c r="C72" s="68"/>
      <x:c r="D72" s="69"/>
      <x:c r="E72" s="68"/>
      <x:c r="F72" s="68"/>
      <x:c r="G72" s="68"/>
      <x:c r="H72" s="68"/>
      <x:c r="I72" s="68"/>
      <x:c r="J72" s="69"/>
      <x:c r="K72" s="68"/>
    </x:row>
    <x:row r="73" ht="38" customHeight="1">
      <x:c r="A73" s="68"/>
      <x:c r="B73" s="68"/>
      <x:c r="C73" s="68"/>
      <x:c r="D73" s="69"/>
      <x:c r="E73" s="68"/>
      <x:c r="F73" s="68"/>
      <x:c r="G73" s="68"/>
      <x:c r="H73" s="68"/>
      <x:c r="I73" s="68"/>
      <x:c r="J73" s="69"/>
      <x:c r="K73" s="68"/>
    </x:row>
    <x:row r="74" ht="38" customHeight="1">
      <x:c r="A74" s="68"/>
      <x:c r="B74" s="68"/>
      <x:c r="C74" s="68"/>
      <x:c r="D74" s="69"/>
      <x:c r="E74" s="68"/>
      <x:c r="F74" s="68"/>
      <x:c r="G74" s="68"/>
      <x:c r="H74" s="68"/>
      <x:c r="I74" s="68"/>
      <x:c r="J74" s="69"/>
      <x:c r="K74" s="68"/>
    </x:row>
    <x:row r="75" ht="38" customHeight="1">
      <x:c r="A75" s="68"/>
      <x:c r="B75" s="68"/>
      <x:c r="C75" s="68"/>
      <x:c r="D75" s="69"/>
      <x:c r="E75" s="68"/>
      <x:c r="F75" s="68"/>
      <x:c r="G75" s="68"/>
      <x:c r="H75" s="68"/>
      <x:c r="I75" s="68"/>
      <x:c r="J75" s="69"/>
      <x:c r="K75" s="68"/>
    </x:row>
    <x:row r="76" ht="38" customHeight="1">
      <x:c r="A76" s="68"/>
      <x:c r="B76" s="68"/>
      <x:c r="C76" s="68"/>
      <x:c r="D76" s="69"/>
      <x:c r="E76" s="68"/>
      <x:c r="F76" s="68"/>
      <x:c r="G76" s="68"/>
      <x:c r="H76" s="68"/>
      <x:c r="I76" s="68"/>
      <x:c r="J76" s="69"/>
      <x:c r="K76" s="68"/>
    </x:row>
    <x:row r="77" ht="38" customHeight="1">
      <x:c r="A77" s="68"/>
      <x:c r="B77" s="68"/>
      <x:c r="C77" s="68"/>
      <x:c r="D77" s="69"/>
      <x:c r="E77" s="68"/>
      <x:c r="F77" s="68"/>
      <x:c r="G77" s="68"/>
      <x:c r="H77" s="68"/>
      <x:c r="I77" s="68"/>
      <x:c r="J77" s="69"/>
      <x:c r="K77" s="68"/>
    </x:row>
    <x:row r="78" ht="38" customHeight="1">
      <x:c r="A78" s="68"/>
      <x:c r="B78" s="68"/>
      <x:c r="C78" s="68"/>
      <x:c r="D78" s="69"/>
      <x:c r="E78" s="68"/>
      <x:c r="F78" s="68"/>
      <x:c r="G78" s="68"/>
      <x:c r="H78" s="68"/>
      <x:c r="I78" s="68"/>
      <x:c r="J78" s="69"/>
      <x:c r="K78" s="68"/>
    </x:row>
    <x:row r="79" ht="38" customHeight="1">
      <x:c r="A79" s="68"/>
      <x:c r="B79" s="68"/>
      <x:c r="C79" s="68"/>
      <x:c r="D79" s="69"/>
      <x:c r="E79" s="68"/>
      <x:c r="F79" s="68"/>
      <x:c r="G79" s="68"/>
      <x:c r="H79" s="68"/>
      <x:c r="I79" s="68"/>
      <x:c r="J79" s="69"/>
      <x:c r="K79" s="68"/>
    </x:row>
    <x:row r="80" ht="38" customHeight="1">
      <x:c r="A80" s="68"/>
      <x:c r="B80" s="68"/>
      <x:c r="C80" s="68"/>
      <x:c r="D80" s="69"/>
      <x:c r="E80" s="68"/>
      <x:c r="F80" s="68"/>
      <x:c r="G80" s="68"/>
      <x:c r="H80" s="68"/>
      <x:c r="I80" s="68"/>
      <x:c r="J80" s="69"/>
      <x:c r="K80" s="68"/>
    </x:row>
    <x:row r="81" ht="38" customHeight="1">
      <x:c r="A81" s="68"/>
      <x:c r="B81" s="68"/>
      <x:c r="C81" s="68"/>
      <x:c r="D81" s="69"/>
      <x:c r="E81" s="68"/>
      <x:c r="F81" s="68"/>
      <x:c r="G81" s="68"/>
      <x:c r="H81" s="68"/>
      <x:c r="I81" s="68"/>
      <x:c r="J81" s="69"/>
      <x:c r="K81" s="68"/>
    </x:row>
    <x:row r="82" ht="38" customHeight="1">
      <x:c r="A82" s="68"/>
      <x:c r="B82" s="68"/>
      <x:c r="C82" s="68"/>
      <x:c r="D82" s="69"/>
      <x:c r="E82" s="68"/>
      <x:c r="F82" s="68"/>
      <x:c r="G82" s="68"/>
      <x:c r="H82" s="68"/>
      <x:c r="I82" s="68"/>
      <x:c r="J82" s="69"/>
      <x:c r="K82" s="68"/>
    </x:row>
    <x:row r="83" ht="38" customHeight="1">
      <x:c r="A83" s="68"/>
      <x:c r="B83" s="68"/>
      <x:c r="C83" s="68"/>
      <x:c r="D83" s="69"/>
      <x:c r="E83" s="68"/>
      <x:c r="F83" s="68"/>
      <x:c r="G83" s="68"/>
      <x:c r="H83" s="68"/>
      <x:c r="I83" s="68"/>
      <x:c r="J83" s="69"/>
      <x:c r="K83" s="68"/>
    </x:row>
    <x:row r="84" ht="38" customHeight="1">
      <x:c r="A84" s="68"/>
      <x:c r="B84" s="68"/>
      <x:c r="C84" s="68"/>
      <x:c r="D84" s="69"/>
      <x:c r="E84" s="68"/>
      <x:c r="F84" s="68"/>
      <x:c r="G84" s="68"/>
      <x:c r="H84" s="68"/>
      <x:c r="I84" s="68"/>
      <x:c r="J84" s="69"/>
      <x:c r="K84" s="68"/>
    </x:row>
    <x:row r="85" ht="38" customHeight="1">
      <x:c r="A85" s="68"/>
      <x:c r="B85" s="68"/>
      <x:c r="C85" s="68"/>
      <x:c r="D85" s="69"/>
      <x:c r="E85" s="68"/>
      <x:c r="F85" s="68"/>
      <x:c r="G85" s="68"/>
      <x:c r="H85" s="68"/>
      <x:c r="I85" s="68"/>
      <x:c r="J85" s="69"/>
      <x:c r="K85" s="68"/>
    </x:row>
    <x:row r="86" ht="38" customHeight="1">
      <x:c r="A86" s="68"/>
      <x:c r="B86" s="68"/>
      <x:c r="C86" s="68"/>
      <x:c r="D86" s="69"/>
      <x:c r="E86" s="68"/>
      <x:c r="F86" s="68"/>
      <x:c r="G86" s="68"/>
      <x:c r="H86" s="68"/>
      <x:c r="I86" s="68"/>
      <x:c r="J86" s="69"/>
      <x:c r="K86" s="68"/>
    </x:row>
    <x:row r="87" ht="38" customHeight="1">
      <x:c r="A87" s="68"/>
      <x:c r="B87" s="68"/>
      <x:c r="C87" s="68"/>
      <x:c r="D87" s="69"/>
      <x:c r="E87" s="68"/>
      <x:c r="F87" s="68"/>
      <x:c r="G87" s="68"/>
      <x:c r="H87" s="68"/>
      <x:c r="I87" s="68"/>
      <x:c r="J87" s="69"/>
      <x:c r="K87" s="68"/>
    </x:row>
    <x:row r="88" ht="38" customHeight="1">
      <x:c r="A88" s="68"/>
      <x:c r="B88" s="68"/>
      <x:c r="C88" s="68"/>
      <x:c r="D88" s="69"/>
      <x:c r="E88" s="68"/>
      <x:c r="F88" s="68"/>
      <x:c r="G88" s="68"/>
      <x:c r="H88" s="68"/>
      <x:c r="I88" s="68"/>
      <x:c r="J88" s="69"/>
      <x:c r="K88" s="68"/>
    </x:row>
    <x:row r="89" ht="38" customHeight="1">
      <x:c r="A89" s="68"/>
      <x:c r="B89" s="68"/>
      <x:c r="C89" s="68"/>
      <x:c r="D89" s="69"/>
      <x:c r="E89" s="68"/>
      <x:c r="F89" s="68"/>
      <x:c r="G89" s="68"/>
      <x:c r="H89" s="68"/>
      <x:c r="I89" s="68"/>
      <x:c r="J89" s="69"/>
      <x:c r="K89" s="68"/>
    </x:row>
    <x:row r="90" ht="38" customHeight="1">
      <x:c r="A90" s="68"/>
      <x:c r="B90" s="68"/>
      <x:c r="C90" s="68"/>
      <x:c r="D90" s="69"/>
      <x:c r="E90" s="68"/>
      <x:c r="F90" s="68"/>
      <x:c r="G90" s="68"/>
      <x:c r="H90" s="68"/>
      <x:c r="I90" s="68"/>
      <x:c r="J90" s="69"/>
      <x:c r="K90" s="68"/>
    </x:row>
    <x:row r="91" ht="38" customHeight="1">
      <x:c r="A91" s="68"/>
      <x:c r="B91" s="68"/>
      <x:c r="C91" s="68"/>
      <x:c r="D91" s="69"/>
      <x:c r="E91" s="68"/>
      <x:c r="F91" s="68"/>
      <x:c r="G91" s="68"/>
      <x:c r="H91" s="68"/>
      <x:c r="I91" s="68"/>
      <x:c r="J91" s="69"/>
      <x:c r="K91" s="68"/>
    </x:row>
    <x:row r="92" ht="38" customHeight="1">
      <x:c r="A92" s="68"/>
      <x:c r="B92" s="68"/>
      <x:c r="C92" s="68"/>
      <x:c r="D92" s="69"/>
      <x:c r="E92" s="68"/>
      <x:c r="F92" s="68"/>
      <x:c r="G92" s="68"/>
      <x:c r="H92" s="68"/>
      <x:c r="I92" s="68"/>
      <x:c r="J92" s="69"/>
      <x:c r="K92" s="68"/>
    </x:row>
    <x:row r="93" ht="38" customHeight="1">
      <x:c r="A93" s="68"/>
      <x:c r="B93" s="68"/>
      <x:c r="C93" s="68"/>
      <x:c r="D93" s="69"/>
      <x:c r="E93" s="68"/>
      <x:c r="F93" s="68"/>
      <x:c r="G93" s="68"/>
      <x:c r="H93" s="68"/>
      <x:c r="I93" s="68"/>
      <x:c r="J93" s="69"/>
      <x:c r="K93" s="68"/>
    </x:row>
    <x:row r="94" ht="38" customHeight="1">
      <x:c r="A94" s="68"/>
      <x:c r="B94" s="68"/>
      <x:c r="C94" s="68"/>
      <x:c r="D94" s="69"/>
      <x:c r="E94" s="68"/>
      <x:c r="F94" s="68"/>
      <x:c r="G94" s="68"/>
      <x:c r="H94" s="68"/>
      <x:c r="I94" s="68"/>
      <x:c r="J94" s="69"/>
      <x:c r="K94" s="68"/>
    </x:row>
    <x:row r="95" ht="38" customHeight="1">
      <x:c r="A95" s="68"/>
      <x:c r="B95" s="68"/>
      <x:c r="C95" s="68"/>
      <x:c r="D95" s="69"/>
      <x:c r="E95" s="68"/>
      <x:c r="F95" s="68"/>
      <x:c r="G95" s="68"/>
      <x:c r="H95" s="68"/>
      <x:c r="I95" s="68"/>
      <x:c r="J95" s="69"/>
      <x:c r="K95" s="68"/>
    </x:row>
    <x:row r="96" ht="38" customHeight="1">
      <x:c r="A96" s="68"/>
      <x:c r="B96" s="68"/>
      <x:c r="C96" s="68"/>
      <x:c r="D96" s="69"/>
      <x:c r="E96" s="68"/>
      <x:c r="F96" s="68"/>
      <x:c r="G96" s="68"/>
      <x:c r="H96" s="68"/>
      <x:c r="I96" s="68"/>
      <x:c r="J96" s="69"/>
      <x:c r="K96" s="68"/>
    </x:row>
    <x:row r="97" ht="38" customHeight="1">
      <x:c r="A97" s="68"/>
      <x:c r="B97" s="68"/>
      <x:c r="C97" s="68"/>
      <x:c r="D97" s="69"/>
      <x:c r="E97" s="68"/>
      <x:c r="F97" s="68"/>
      <x:c r="G97" s="68"/>
      <x:c r="H97" s="68"/>
      <x:c r="I97" s="68"/>
      <x:c r="J97" s="69"/>
      <x:c r="K97" s="68"/>
    </x:row>
    <x:row r="98" ht="38" customHeight="1">
      <x:c r="A98" s="68"/>
      <x:c r="B98" s="68"/>
      <x:c r="C98" s="68"/>
      <x:c r="D98" s="69"/>
      <x:c r="E98" s="68"/>
      <x:c r="F98" s="68"/>
      <x:c r="G98" s="68"/>
      <x:c r="H98" s="68"/>
      <x:c r="I98" s="68"/>
      <x:c r="J98" s="69"/>
      <x:c r="K98" s="68"/>
    </x:row>
    <x:row r="99" ht="38" customHeight="1">
      <x:c r="A99" s="68"/>
      <x:c r="B99" s="68"/>
      <x:c r="C99" s="68"/>
      <x:c r="D99" s="69"/>
      <x:c r="E99" s="68"/>
      <x:c r="F99" s="68"/>
      <x:c r="G99" s="68"/>
      <x:c r="H99" s="68"/>
      <x:c r="I99" s="68"/>
      <x:c r="J99" s="69"/>
      <x:c r="K99" s="68"/>
    </x:row>
    <x:row r="100" ht="38" customHeight="1">
      <x:c r="A100" s="68"/>
      <x:c r="B100" s="68"/>
      <x:c r="C100" s="68"/>
      <x:c r="D100" s="69"/>
      <x:c r="E100" s="68"/>
      <x:c r="F100" s="68"/>
      <x:c r="G100" s="68"/>
      <x:c r="H100" s="68"/>
      <x:c r="I100" s="68"/>
      <x:c r="J100" s="69"/>
      <x:c r="K100" s="68"/>
    </x:row>
    <x:row r="101" ht="38" customHeight="1">
      <x:c r="A101" s="68"/>
      <x:c r="B101" s="68"/>
      <x:c r="C101" s="68"/>
      <x:c r="D101" s="69"/>
      <x:c r="E101" s="68"/>
      <x:c r="F101" s="68"/>
      <x:c r="G101" s="68"/>
      <x:c r="H101" s="68"/>
      <x:c r="I101" s="68"/>
      <x:c r="J101" s="69"/>
      <x:c r="K101" s="68"/>
    </x:row>
    <x:row r="102" ht="38" customHeight="1">
      <x:c r="A102" s="68"/>
      <x:c r="B102" s="68"/>
      <x:c r="C102" s="68"/>
      <x:c r="D102" s="69"/>
      <x:c r="E102" s="68"/>
      <x:c r="F102" s="68"/>
      <x:c r="G102" s="68"/>
      <x:c r="H102" s="68"/>
      <x:c r="I102" s="68"/>
      <x:c r="J102" s="69"/>
      <x:c r="K102" s="68"/>
    </x:row>
    <x:row r="103" ht="38" customHeight="1">
      <x:c r="A103" s="68"/>
      <x:c r="B103" s="68"/>
      <x:c r="C103" s="68"/>
      <x:c r="D103" s="69"/>
      <x:c r="E103" s="68"/>
      <x:c r="F103" s="68"/>
      <x:c r="G103" s="68"/>
      <x:c r="H103" s="68"/>
      <x:c r="I103" s="68"/>
      <x:c r="J103" s="69"/>
      <x:c r="K103" s="68"/>
    </x:row>
    <x:row r="104" ht="38" customHeight="1">
      <x:c r="A104" s="68"/>
      <x:c r="B104" s="68"/>
      <x:c r="C104" s="68"/>
      <x:c r="D104" s="69"/>
      <x:c r="E104" s="68"/>
      <x:c r="F104" s="68"/>
      <x:c r="G104" s="68"/>
      <x:c r="H104" s="68"/>
      <x:c r="I104" s="68"/>
      <x:c r="J104" s="69"/>
      <x:c r="K104" s="68"/>
    </x:row>
  </x:sheetData>
  <x:mergeCells>
    <x:mergeCell ref="A1:H1"/>
    <x:mergeCell ref="A2:H2"/>
  </x:mergeCells>
  <x:dataValidations count="3">
    <x:dataValidation type="list" sqref="E5:E104">
      <x:formula1>"Email,WhatsApp/SMS,LinkedIn,Phone,Referral,Other"</x:formula1>
    </x:dataValidation>
    <x:dataValidation type="list" sqref="F5:F104">
      <x:formula1>"Initial,Three-day follow-up,Scheduling confirmation,Referral request,Custom"</x:formula1>
    </x:dataValidation>
    <x:dataValidation type="list" sqref="G5:G104">
      <x:formula1>"Sent,Delivered,Replied,Scheduled,Completed,Declined,No response,Do not contact"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50" hidden="0" customWidth="1"/>
    <x:col min="4" max="4" width="38" hidden="0" customWidth="1"/>
  </x:cols>
  <x:sheetData>
    <x:row r="1">
      <x:c r="A1" s="3" t="str">
        <x:v>Objection Codes and Safe Responses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Use concise codes for comparison; preserve the doctor’s words separately</x:v>
      </x:c>
      <x:c r="B2" s="6"/>
      <x:c r="C2" s="6"/>
      <x:c r="D2" s="6"/>
      <x:c r="E2" s="6"/>
      <x:c r="F2" s="6"/>
      <x:c r="G2" s="6"/>
      <x:c r="H2" s="6"/>
    </x:row>
    <x:row r="3">
      <x:c r="A3" s="109"/>
      <x:c r="B3" s="109"/>
      <x:c r="C3" s="109"/>
      <x:c r="D3" s="109"/>
      <x:c r="E3" s="109"/>
      <x:c r="F3" s="109"/>
      <x:c r="G3" s="109"/>
      <x:c r="H3" s="109"/>
    </x:row>
    <x:row r="4">
      <x:c r="A4" s="24" t="str">
        <x:v>Code</x:v>
      </x:c>
      <x:c r="B4" s="25" t="str">
        <x:v>Meaning</x:v>
      </x:c>
      <x:c r="C4" s="25" t="str">
        <x:v>Safe response principle</x:v>
      </x:c>
      <x:c r="D4" s="26" t="str">
        <x:v>Do not do</x:v>
      </x:c>
      <x:c r="E4" s="109"/>
      <x:c r="F4" s="109"/>
      <x:c r="G4" s="109"/>
      <x:c r="H4" s="109"/>
    </x:row>
    <x:row r="5" ht="44" customHeight="1">
      <x:c r="A5" s="118" t="str">
        <x:v>TIME</x:v>
      </x:c>
      <x:c r="B5" s="119" t="str">
        <x:v>Too busy</x:v>
      </x:c>
      <x:c r="C5" s="119" t="str">
        <x:v>Offer one flexible 15-minute slot; stop after one follow-up.</x:v>
      </x:c>
      <x:c r="D5" s="120" t="str">
        <x:v>Pressure or repeated messaging</x:v>
      </x:c>
      <x:c r="E5" s="109"/>
      <x:c r="F5" s="109"/>
      <x:c r="G5" s="109"/>
      <x:c r="H5" s="109"/>
    </x:row>
    <x:row r="6" ht="44" customHeight="1">
      <x:c r="A6" s="121" t="str">
        <x:v>NOT_RELEVANT</x:v>
      </x:c>
      <x:c r="B6" s="122" t="str">
        <x:v>Topic not relevant</x:v>
      </x:c>
      <x:c r="C6" s="122" t="str">
        <x:v>Thank them and ask once whether another doctor fits.</x:v>
      </x:c>
      <x:c r="D6" s="123" t="str">
        <x:v>Argue</x:v>
      </x:c>
      <x:c r="E6" s="109"/>
      <x:c r="F6" s="109"/>
      <x:c r="G6" s="109"/>
      <x:c r="H6" s="109"/>
    </x:row>
    <x:row r="7" ht="44" customHeight="1">
      <x:c r="A7" s="121" t="str">
        <x:v>ALREADY_SOLVED</x:v>
      </x:c>
      <x:c r="B7" s="122" t="str">
        <x:v>Current EMR/workflow works</x:v>
      </x:c>
      <x:c r="C7" s="122" t="str">
        <x:v>Ask what works and whether any gap remains.</x:v>
      </x:c>
      <x:c r="D7" s="123" t="str">
        <x:v>Dismiss the current system</x:v>
      </x:c>
      <x:c r="E7" s="109"/>
      <x:c r="F7" s="109"/>
      <x:c r="G7" s="109"/>
      <x:c r="H7" s="109"/>
    </x:row>
    <x:row r="8" ht="44" customHeight="1">
      <x:c r="A8" s="121" t="str">
        <x:v>NO_RECORDING</x:v>
      </x:c>
      <x:c r="B8" s="122" t="str">
        <x:v>Recording objection</x:v>
      </x:c>
      <x:c r="C8" s="122" t="str">
        <x:v>Clarify the discovery interview uses written notes only.</x:v>
      </x:c>
      <x:c r="D8" s="123" t="str">
        <x:v>Record without separate consent</x:v>
      </x:c>
      <x:c r="E8" s="109"/>
      <x:c r="F8" s="109"/>
      <x:c r="G8" s="109"/>
      <x:c r="H8" s="109"/>
    </x:row>
    <x:row r="9" ht="44" customHeight="1">
      <x:c r="A9" s="121" t="str">
        <x:v>PRIVACY</x:v>
      </x:c>
      <x:c r="B9" s="122" t="str">
        <x:v>Privacy concern</x:v>
      </x:c>
      <x:c r="C9" s="122" t="str">
        <x:v>Confirm no patient information is requested.</x:v>
      </x:c>
      <x:c r="D9" s="123" t="str">
        <x:v>Minimize or debate the concern</x:v>
      </x:c>
      <x:c r="E9" s="109"/>
      <x:c r="F9" s="109"/>
      <x:c r="G9" s="109"/>
      <x:c r="H9" s="109"/>
    </x:row>
    <x:row r="10" ht="44" customHeight="1">
      <x:c r="A10" s="121" t="str">
        <x:v>NO_AI</x:v>
      </x:c>
      <x:c r="B10" s="122" t="str">
        <x:v>Concern about AI/automation</x:v>
      </x:c>
      <x:c r="C10" s="122" t="str">
        <x:v>Explain doctor-controlled draft boundary; no diagnosis or prescribing.</x:v>
      </x:c>
      <x:c r="D10" s="123" t="str">
        <x:v>Promise unsafe automation</x:v>
      </x:c>
      <x:c r="E10" s="109"/>
      <x:c r="F10" s="109"/>
      <x:c r="G10" s="109"/>
      <x:c r="H10" s="109"/>
    </x:row>
    <x:row r="11" ht="44" customHeight="1">
      <x:c r="A11" s="121" t="str">
        <x:v>SEND_INFO</x:v>
      </x:c>
      <x:c r="B11" s="122" t="str">
        <x:v>Requests material first</x:v>
      </x:c>
      <x:c r="C11" s="122" t="str">
        <x:v>Send a short neutral summary and retain the research ask.</x:v>
      </x:c>
      <x:c r="D11" s="123" t="str">
        <x:v>Send a sales deck</x:v>
      </x:c>
      <x:c r="E11" s="109"/>
      <x:c r="F11" s="109"/>
      <x:c r="G11" s="109"/>
      <x:c r="H11" s="109"/>
    </x:row>
    <x:row r="12" ht="44" customHeight="1">
      <x:c r="A12" s="121" t="str">
        <x:v>ASSISTANT</x:v>
      </x:c>
      <x:c r="B12" s="122" t="str">
        <x:v>Redirected to assistant</x:v>
      </x:c>
      <x:c r="C12" s="122" t="str">
        <x:v>Coordinate scheduling only; interview the doctor for workflow evidence.</x:v>
      </x:c>
      <x:c r="D12" s="123" t="str">
        <x:v>Count assistant as a doctor interview</x:v>
      </x:c>
      <x:c r="E12" s="109"/>
      <x:c r="F12" s="109"/>
      <x:c r="G12" s="109"/>
      <x:c r="H12" s="109"/>
    </x:row>
    <x:row r="13" ht="44" customHeight="1">
      <x:c r="A13" s="121" t="str">
        <x:v>NO_BUDGET</x:v>
      </x:c>
      <x:c r="B13" s="122" t="str">
        <x:v>Budget concern</x:v>
      </x:c>
      <x:c r="C13" s="122" t="str">
        <x:v>Clarify this is unpaid discovery; record the signal.</x:v>
      </x:c>
      <x:c r="D13" s="123" t="str">
        <x:v>Offer incentives without approval</x:v>
      </x:c>
      <x:c r="E13" s="109"/>
      <x:c r="F13" s="109"/>
      <x:c r="G13" s="109"/>
      <x:c r="H13" s="109"/>
    </x:row>
    <x:row r="14" ht="44" customHeight="1">
      <x:c r="A14" s="124" t="str">
        <x:v>OTHER</x:v>
      </x:c>
      <x:c r="B14" s="125" t="str">
        <x:v>Unclassified</x:v>
      </x:c>
      <x:c r="C14" s="125" t="str">
        <x:v>Capture a short anonymous summary.</x:v>
      </x:c>
      <x:c r="D14" s="126" t="str">
        <x:v>Add patient or sensitive details</x:v>
      </x:c>
      <x:c r="E14" s="109"/>
      <x:c r="F14" s="109"/>
      <x:c r="G14" s="109"/>
      <x:c r="H14" s="109"/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5" customHeight="1">
      <x:c r="A1" s="3" t="str">
        <x:v>Task 8 Recruitment Workbook</x:v>
      </x:c>
      <x:c r="B1" s="3"/>
      <x:c r="C1" s="3"/>
      <x:c r="D1" s="3"/>
      <x:c r="E1" s="3"/>
      <x:c r="F1" s="3"/>
      <x:c r="G1" s="3"/>
      <x:c r="H1" s="3"/>
    </x:row>
    <x:row r="2" ht="25" customHeight="1">
      <x:c r="A2" s="6" t="str">
        <x:v>Public professional prospecting • Pune/PCMC • Version 0.1 • 6 August 2026</x:v>
      </x:c>
      <x:c r="B2" s="6"/>
      <x:c r="C2" s="6"/>
      <x:c r="D2" s="6"/>
      <x:c r="E2" s="6"/>
      <x:c r="F2" s="6"/>
      <x:c r="G2" s="6"/>
      <x:c r="H2" s="6"/>
    </x:row>
    <x:row r="3" ht="25" customHeight="1">
      <x:c r="A3" s="109"/>
      <x:c r="B3" s="109"/>
      <x:c r="C3" s="109"/>
      <x:c r="D3" s="109"/>
      <x:c r="E3" s="109"/>
      <x:c r="F3" s="109"/>
      <x:c r="G3" s="109"/>
      <x:c r="H3" s="109"/>
    </x:row>
    <x:row r="4" ht="25" customHeight="1">
      <x:c r="A4" s="9" t="str">
        <x:v>Purpose and boundary</x:v>
      </x:c>
      <x:c r="B4" s="10"/>
      <x:c r="C4" s="10"/>
      <x:c r="D4" s="10"/>
      <x:c r="E4" s="10"/>
      <x:c r="F4" s="10"/>
      <x:c r="G4" s="10"/>
      <x:c r="H4" s="11"/>
    </x:row>
    <x:row r="5" ht="25" customHeight="1">
      <x:c r="A5" s="115" t="str">
        <x:v>Build a 10-interview discovery cohort. This workbook does not prove scheduling; a prospect counts only when qualified and marked Scheduled or Completed.</x:v>
      </x:c>
      <x:c r="B5" s="115"/>
      <x:c r="C5" s="115"/>
      <x:c r="D5" s="115"/>
      <x:c r="E5" s="115"/>
      <x:c r="F5" s="115"/>
      <x:c r="G5" s="115"/>
      <x:c r="H5" s="115"/>
    </x:row>
    <x:row r="6" ht="25" customHeight="1">
      <x:c r="A6" s="115" t="str">
        <x:v>Public listings establish only what they state. “Strong fit,” “Likely fit,” and “Verify” are research triage labels—not endorsements or clinical-quality judgments.</x:v>
      </x:c>
      <x:c r="B6" s="115"/>
      <x:c r="C6" s="115"/>
      <x:c r="D6" s="115"/>
      <x:c r="E6" s="115"/>
      <x:c r="F6" s="115"/>
      <x:c r="G6" s="115"/>
      <x:c r="H6" s="115"/>
    </x:row>
    <x:row r="7" ht="25" customHeight="1">
      <x:c r="A7" s="115" t="str">
        <x:v>Do not add patient information. Store only minimal public professional details needed for founder-led outreach.</x:v>
      </x:c>
      <x:c r="B7" s="115"/>
      <x:c r="C7" s="115"/>
      <x:c r="D7" s="115"/>
      <x:c r="E7" s="115"/>
      <x:c r="F7" s="115"/>
      <x:c r="G7" s="115"/>
      <x:c r="H7" s="115"/>
    </x:row>
    <x:row r="8" ht="25" customHeight="1">
      <x:c r="A8" s="115" t="str">
        <x:v>Use the Task 7 interview guide. Do not record discovery calls unless a separate approved research protocol and consent are in place.</x:v>
      </x:c>
      <x:c r="B8" s="115"/>
      <x:c r="C8" s="115"/>
      <x:c r="D8" s="115"/>
      <x:c r="E8" s="115"/>
      <x:c r="F8" s="115"/>
      <x:c r="G8" s="115"/>
      <x:c r="H8" s="115"/>
    </x:row>
    <x:row r="9" ht="25" customHeight="1">
      <x:c r="A9" s="109"/>
      <x:c r="B9" s="109"/>
      <x:c r="C9" s="109"/>
      <x:c r="D9" s="109"/>
      <x:c r="E9" s="109"/>
      <x:c r="F9" s="109"/>
      <x:c r="G9" s="109"/>
      <x:c r="H9" s="109"/>
    </x:row>
    <x:row r="10" ht="25" customHeight="1">
      <x:c r="A10" s="9" t="str">
        <x:v>Qualification rule</x:v>
      </x:c>
      <x:c r="B10" s="10"/>
      <x:c r="C10" s="10"/>
      <x:c r="D10" s="10"/>
      <x:c r="E10" s="10"/>
      <x:c r="F10" s="10"/>
      <x:c r="G10" s="10"/>
      <x:c r="H10" s="11"/>
    </x:row>
    <x:row r="11" ht="25" customHeight="1">
      <x:c r="A11" s="127" t="str">
        <x:v>1</x:v>
      </x:c>
      <x:c r="B11" s="109" t="str">
        <x:v>Diabetes/endocrinology or diabetes-heavy physician practice</x:v>
      </x:c>
      <x:c r="C11" s="109"/>
      <x:c r="D11" s="109"/>
      <x:c r="E11" s="109"/>
      <x:c r="F11" s="109"/>
      <x:c r="G11" s="109"/>
      <x:c r="H11" s="109"/>
    </x:row>
    <x:row r="12" ht="25" customHeight="1">
      <x:c r="A12" s="127" t="str">
        <x:v>2</x:v>
      </x:c>
      <x:c r="B12" s="109" t="str">
        <x:v>Private outpatient practice in Pune/PCMC</x:v>
      </x:c>
      <x:c r="C12" s="109"/>
      <x:c r="D12" s="109"/>
      <x:c r="E12" s="109"/>
      <x:c r="F12" s="109"/>
      <x:c r="G12" s="109"/>
      <x:c r="H12" s="109"/>
    </x:row>
    <x:row r="13" ht="25" customHeight="1">
      <x:c r="A13" s="127" t="str">
        <x:v>3</x:v>
      </x:c>
      <x:c r="B13" s="109" t="str">
        <x:v>Workflow decision influence or access to decision-maker</x:v>
      </x:c>
      <x:c r="C13" s="109"/>
      <x:c r="D13" s="109"/>
      <x:c r="E13" s="109"/>
      <x:c r="F13" s="109"/>
      <x:c r="G13" s="109"/>
      <x:c r="H13" s="109"/>
    </x:row>
    <x:row r="14" ht="25" customHeight="1">
      <x:c r="A14" s="127" t="str">
        <x:v>4</x:v>
      </x:c>
      <x:c r="B14" s="109" t="str">
        <x:v>Meaningful repeat volume; preferred ≥8 follow-ups/day</x:v>
      </x:c>
      <x:c r="C14" s="109"/>
      <x:c r="D14" s="109"/>
      <x:c r="E14" s="109"/>
      <x:c r="F14" s="109"/>
      <x:c r="G14" s="109"/>
      <x:c r="H14" s="109"/>
    </x:row>
    <x:row r="15" ht="25" customHeight="1">
      <x:c r="A15" s="127" t="str">
        <x:v>5</x:v>
      </x:c>
      <x:c r="B15" s="109" t="str">
        <x:v>Willing to discuss workflow without patient-identifiable information</x:v>
      </x:c>
      <x:c r="C15" s="109"/>
      <x:c r="D15" s="109"/>
      <x:c r="E15" s="109"/>
      <x:c r="F15" s="109"/>
      <x:c r="G15" s="109"/>
      <x:c r="H15" s="109"/>
    </x:row>
    <x:row r="16" ht="25" customHeight="1">
      <x:c r="A16" s="109"/>
      <x:c r="B16" s="109"/>
      <x:c r="C16" s="109"/>
      <x:c r="D16" s="109"/>
      <x:c r="E16" s="109"/>
      <x:c r="F16" s="109"/>
      <x:c r="G16" s="109"/>
      <x:c r="H16" s="109"/>
    </x:row>
    <x:row r="17" ht="25" customHeight="1">
      <x:c r="A17" s="9" t="str">
        <x:v>Data minimization</x:v>
      </x:c>
      <x:c r="B17" s="10"/>
      <x:c r="C17" s="10"/>
      <x:c r="D17" s="10"/>
      <x:c r="E17" s="10"/>
      <x:c r="F17" s="10"/>
      <x:c r="G17" s="10"/>
      <x:c r="H17" s="11"/>
    </x:row>
    <x:row r="18" ht="25" customHeight="1">
      <x:c r="A18" s="115" t="str">
        <x:v>No personal/private contact scraping; use only public professional channels.</x:v>
      </x:c>
      <x:c r="B18" s="115"/>
      <x:c r="C18" s="115"/>
      <x:c r="D18" s="115"/>
      <x:c r="E18" s="115"/>
      <x:c r="F18" s="115"/>
      <x:c r="G18" s="115"/>
      <x:c r="H18" s="115"/>
    </x:row>
    <x:row r="19" ht="25" customHeight="1">
      <x:c r="A19" s="115" t="str">
        <x:v>No patient names, clinical details, transcripts, recordings, prescriptions, diagnoses, or case examples.</x:v>
      </x:c>
      <x:c r="B19" s="115"/>
      <x:c r="C19" s="115"/>
      <x:c r="D19" s="115"/>
      <x:c r="E19" s="115"/>
      <x:c r="F19" s="115"/>
      <x:c r="G19" s="115"/>
      <x:c r="H19" s="115"/>
    </x:row>
    <x:row r="20" ht="25" customHeight="1">
      <x:c r="A20" s="115" t="str">
        <x:v>Remove stale or inaccurate prospect details when discovered; keep source URL and verification date.</x:v>
      </x:c>
      <x:c r="B20" s="115"/>
      <x:c r="C20" s="115"/>
      <x:c r="D20" s="115"/>
      <x:c r="E20" s="115"/>
      <x:c r="F20" s="115"/>
      <x:c r="G20" s="115"/>
      <x:c r="H20" s="115"/>
    </x:row>
  </x:sheetData>
  <x:mergeCells>
    <x:mergeCell ref="A1:H1"/>
    <x:mergeCell ref="A2:H2"/>
    <x:mergeCell ref="A4:H4"/>
    <x:mergeCell ref="A5:H5"/>
    <x:mergeCell ref="A6:H6"/>
    <x:mergeCell ref="A7:H7"/>
    <x:mergeCell ref="A8:H8"/>
    <x:mergeCell ref="A10:H10"/>
    <x:mergeCell ref="B11:H11"/>
    <x:mergeCell ref="B12:H12"/>
    <x:mergeCell ref="B13:H13"/>
    <x:mergeCell ref="B14:H14"/>
    <x:mergeCell ref="B15:H15"/>
    <x:mergeCell ref="A17:H17"/>
    <x:mergeCell ref="A18:H18"/>
    <x:mergeCell ref="A19:H19"/>
    <x:mergeCell ref="A20:H20"/>
  </x:mergeCells>
  <x:pageMargins left="0.7" right="0.7" top="0.75" bottom="0.75" header="0.3" footer="0.3"/>
</x:worksheet>
</file>